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radodhia_microsoft_com/Documents/GiraffeSurvival/Data/"/>
    </mc:Choice>
  </mc:AlternateContent>
  <xr:revisionPtr revIDLastSave="29" documentId="8_{DBC6B1AC-17AE-4100-838E-D619FA40E361}" xr6:coauthVersionLast="47" xr6:coauthVersionMax="47" xr10:uidLastSave="{C6AF9319-504B-4A8A-9672-C707FB5657A3}"/>
  <bookViews>
    <workbookView xWindow="504" yWindow="2196" windowWidth="22884" windowHeight="12552" activeTab="1" xr2:uid="{00000000-000D-0000-FFFF-FFFF00000000}"/>
  </bookViews>
  <sheets>
    <sheet name="Detail1" sheetId="3" r:id="rId1"/>
    <sheet name="Sheet1" sheetId="2" r:id="rId2"/>
    <sheet name="data" sheetId="1" r:id="rId3"/>
  </sheet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2" l="1"/>
  <c r="C8" i="2"/>
  <c r="C6" i="2"/>
  <c r="I79" i="1"/>
  <c r="H79" i="1"/>
  <c r="C4" i="2"/>
  <c r="D4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2" i="1"/>
</calcChain>
</file>

<file path=xl/sharedStrings.xml><?xml version="1.0" encoding="utf-8"?>
<sst xmlns="http://schemas.openxmlformats.org/spreadsheetml/2006/main" count="442" uniqueCount="47">
  <si>
    <t>Height (cm)</t>
  </si>
  <si>
    <t>Name</t>
  </si>
  <si>
    <t>Zoo</t>
  </si>
  <si>
    <t>Birthday</t>
  </si>
  <si>
    <t>Y</t>
  </si>
  <si>
    <t>Brevard Zoo</t>
  </si>
  <si>
    <t>Subspecies</t>
  </si>
  <si>
    <t>Masai</t>
  </si>
  <si>
    <t>N</t>
  </si>
  <si>
    <t>M</t>
  </si>
  <si>
    <t>F</t>
  </si>
  <si>
    <t>Other</t>
  </si>
  <si>
    <t>Date of Measurement</t>
  </si>
  <si>
    <t>Sex (M/F)</t>
  </si>
  <si>
    <t>Ossicones (Y/N)</t>
  </si>
  <si>
    <t>Seneca Park Zoo</t>
  </si>
  <si>
    <t>Kip</t>
  </si>
  <si>
    <t>Iggy</t>
  </si>
  <si>
    <t>Parker</t>
  </si>
  <si>
    <t>T-Bone</t>
  </si>
  <si>
    <t>Greenville Zoo</t>
  </si>
  <si>
    <t>Kellan</t>
  </si>
  <si>
    <t>Cincinnati Zoo</t>
  </si>
  <si>
    <t>Kiden</t>
  </si>
  <si>
    <t>Kesi</t>
  </si>
  <si>
    <t>Miles</t>
  </si>
  <si>
    <t>Zoo New England</t>
  </si>
  <si>
    <t>Theo</t>
  </si>
  <si>
    <t>Mtembei</t>
  </si>
  <si>
    <t>Lulu</t>
  </si>
  <si>
    <t>Zoey</t>
  </si>
  <si>
    <t>Fennessy</t>
  </si>
  <si>
    <t>Houston Zoo</t>
  </si>
  <si>
    <t>Notes</t>
  </si>
  <si>
    <t>Adult</t>
  </si>
  <si>
    <t>Kansas City Zoo</t>
  </si>
  <si>
    <t>Maxwell</t>
  </si>
  <si>
    <t>Dixie</t>
  </si>
  <si>
    <t>Chandy</t>
  </si>
  <si>
    <t>Age (days)</t>
  </si>
  <si>
    <t>Age (months)</t>
  </si>
  <si>
    <t>Row Labels</t>
  </si>
  <si>
    <t>Grand Total</t>
  </si>
  <si>
    <t>Count of Birthday</t>
  </si>
  <si>
    <t>Details for Count of Birthday - Name: (blank)</t>
  </si>
  <si>
    <t>zne1</t>
  </si>
  <si>
    <t>zne2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</si>
</sst>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Dodhia" refreshedDate="46013.901761921297" createdVersion="8" refreshedVersion="8" minRefreshableVersion="3" recordCount="77" xr:uid="{559EBA65-E607-4FB6-B45E-6C7FEFFA44A3}">
  <cacheSource type="worksheet">
    <worksheetSource ref="A1:L78" sheet="data"/>
  </cacheSource>
  <cacheFields count="12">
    <cacheField name="Zoo" numFmtId="0">
      <sharedItems/>
    </cacheField>
    <cacheField name="Name" numFmtId="0">
      <sharedItems containsBlank="1" count="19">
        <s v="Chandy"/>
        <s v="Dixie"/>
        <s v="Fennessy"/>
        <s v="Iggy"/>
        <s v="Kellan"/>
        <s v="Kesi"/>
        <s v="Kiden"/>
        <s v="Kip"/>
        <s v="Lulu"/>
        <s v="Maxwell"/>
        <s v="Miles"/>
        <s v="Mtembei"/>
        <s v="Parker"/>
        <s v="T-Bone"/>
        <s v="Theo"/>
        <s v="Zoey"/>
        <s v="zne1"/>
        <s v="zne2"/>
        <m u="1"/>
      </sharedItems>
    </cacheField>
    <cacheField name="Birthday" numFmtId="14">
      <sharedItems containsSemiMixedTypes="0" containsNonDate="0" containsDate="1" containsString="0" minDate="2006-01-07T00:00:00" maxDate="2019-11-24T00:00:00"/>
    </cacheField>
    <cacheField name="Sex (M/F)" numFmtId="0">
      <sharedItems count="2">
        <s v="F"/>
        <s v="M"/>
      </sharedItems>
    </cacheField>
    <cacheField name="Date of Measurement" numFmtId="14">
      <sharedItems containsSemiMixedTypes="0" containsNonDate="0" containsDate="1" containsString="0" minDate="2010-07-17T00:00:00" maxDate="2019-12-28T00:00:00"/>
    </cacheField>
    <cacheField name="Ossicones (Y/N)" numFmtId="0">
      <sharedItems/>
    </cacheField>
    <cacheField name="Age (days)" numFmtId="1">
      <sharedItems containsSemiMixedTypes="0" containsString="0" containsNumber="1" containsInteger="1" minValue="0" maxValue="4932"/>
    </cacheField>
    <cacheField name="Age (months)" numFmtId="1">
      <sharedItems containsSemiMixedTypes="0" containsString="0" containsNumber="1" containsInteger="1" minValue="0" maxValue="164"/>
    </cacheField>
    <cacheField name="Height (cm)" numFmtId="1">
      <sharedItems containsSemiMixedTypes="0" containsString="0" containsNumber="1" minValue="152.4" maxValue="533.4"/>
    </cacheField>
    <cacheField name="Subspecies" numFmtId="0">
      <sharedItems/>
    </cacheField>
    <cacheField name="Other" numFmtId="0">
      <sharedItems containsNonDate="0" containsString="0"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Kansas City Zoo"/>
    <x v="0"/>
    <d v="2019-09-03T00:00:00"/>
    <x v="0"/>
    <d v="2019-09-05T00:00:00"/>
    <s v="Y"/>
    <n v="2"/>
    <n v="0"/>
    <n v="172.72"/>
    <s v="Masai"/>
    <m/>
    <m/>
  </r>
  <r>
    <s v="Kansas City Zoo"/>
    <x v="0"/>
    <d v="2019-09-03T00:00:00"/>
    <x v="0"/>
    <d v="2019-09-26T00:00:00"/>
    <s v="Y"/>
    <n v="23"/>
    <n v="1"/>
    <n v="182.88"/>
    <s v="Masai"/>
    <m/>
    <m/>
  </r>
  <r>
    <s v="Kansas City Zoo"/>
    <x v="0"/>
    <d v="2019-09-03T00:00:00"/>
    <x v="0"/>
    <d v="2019-10-02T00:00:00"/>
    <s v="Y"/>
    <n v="29"/>
    <n v="1"/>
    <n v="185.42"/>
    <s v="Masai"/>
    <m/>
    <m/>
  </r>
  <r>
    <s v="Kansas City Zoo"/>
    <x v="0"/>
    <d v="2019-09-03T00:00:00"/>
    <x v="0"/>
    <d v="2019-10-15T00:00:00"/>
    <s v="Y"/>
    <n v="42"/>
    <n v="1"/>
    <n v="190.5"/>
    <s v="Masai"/>
    <m/>
    <m/>
  </r>
  <r>
    <s v="Kansas City Zoo"/>
    <x v="1"/>
    <d v="2018-02-02T00:00:00"/>
    <x v="0"/>
    <d v="2018-02-02T00:00:00"/>
    <s v="Y"/>
    <n v="0"/>
    <n v="0"/>
    <n v="152.4"/>
    <s v="Masai"/>
    <m/>
    <m/>
  </r>
  <r>
    <s v="Kansas City Zoo"/>
    <x v="1"/>
    <d v="2018-02-02T00:00:00"/>
    <x v="0"/>
    <d v="2018-12-18T00:00:00"/>
    <s v="Y"/>
    <n v="319"/>
    <n v="11"/>
    <n v="259.08"/>
    <s v="Masai"/>
    <m/>
    <m/>
  </r>
  <r>
    <s v="Kansas City Zoo"/>
    <x v="1"/>
    <d v="2018-02-02T00:00:00"/>
    <x v="0"/>
    <d v="2019-01-02T00:00:00"/>
    <s v="Y"/>
    <n v="334"/>
    <n v="11"/>
    <n v="261.62"/>
    <s v="Masai"/>
    <m/>
    <m/>
  </r>
  <r>
    <s v="Kansas City Zoo"/>
    <x v="1"/>
    <d v="2018-02-02T00:00:00"/>
    <x v="0"/>
    <d v="2019-02-02T00:00:00"/>
    <s v="Y"/>
    <n v="365"/>
    <n v="12"/>
    <n v="274.32"/>
    <s v="Masai"/>
    <m/>
    <m/>
  </r>
  <r>
    <s v="Kansas City Zoo"/>
    <x v="1"/>
    <d v="2018-02-02T00:00:00"/>
    <x v="0"/>
    <d v="2019-05-03T00:00:00"/>
    <s v="Y"/>
    <n v="455"/>
    <n v="15"/>
    <n v="289.56"/>
    <s v="Masai"/>
    <m/>
    <m/>
  </r>
  <r>
    <s v="Kansas City Zoo"/>
    <x v="1"/>
    <d v="2018-02-02T00:00:00"/>
    <x v="0"/>
    <d v="2019-08-02T00:00:00"/>
    <s v="Y"/>
    <n v="546"/>
    <n v="18"/>
    <n v="292.10000000000002"/>
    <s v="Masai"/>
    <m/>
    <m/>
  </r>
  <r>
    <s v="Kansas City Zoo"/>
    <x v="1"/>
    <d v="2018-02-02T00:00:00"/>
    <x v="0"/>
    <d v="2019-11-07T00:00:00"/>
    <s v="Y"/>
    <n v="643"/>
    <n v="21"/>
    <n v="304.8"/>
    <s v="Masai"/>
    <m/>
    <m/>
  </r>
  <r>
    <s v="Cincinnati Zoo"/>
    <x v="2"/>
    <d v="2019-06-17T00:00:00"/>
    <x v="1"/>
    <d v="2019-06-19T00:00:00"/>
    <s v="N"/>
    <n v="2"/>
    <n v="0"/>
    <n v="177.8"/>
    <s v="Masai"/>
    <m/>
    <m/>
  </r>
  <r>
    <s v="Cincinnati Zoo"/>
    <x v="2"/>
    <d v="2019-06-17T00:00:00"/>
    <x v="1"/>
    <d v="2019-07-11T00:00:00"/>
    <s v="N"/>
    <n v="24"/>
    <n v="1"/>
    <n v="198.12"/>
    <s v="Masai"/>
    <m/>
    <m/>
  </r>
  <r>
    <s v="Cincinnati Zoo"/>
    <x v="2"/>
    <d v="2019-06-17T00:00:00"/>
    <x v="1"/>
    <d v="2019-07-18T00:00:00"/>
    <s v="N"/>
    <n v="31"/>
    <n v="1"/>
    <n v="203.2"/>
    <s v="Masai"/>
    <m/>
    <m/>
  </r>
  <r>
    <s v="Cincinnati Zoo"/>
    <x v="2"/>
    <d v="2019-06-17T00:00:00"/>
    <x v="1"/>
    <d v="2019-07-31T00:00:00"/>
    <s v="N"/>
    <n v="44"/>
    <n v="1"/>
    <n v="210.82"/>
    <s v="Masai"/>
    <m/>
    <m/>
  </r>
  <r>
    <s v="Cincinnati Zoo"/>
    <x v="2"/>
    <d v="2019-06-17T00:00:00"/>
    <x v="1"/>
    <d v="2019-08-08T00:00:00"/>
    <s v="N"/>
    <n v="52"/>
    <n v="2"/>
    <n v="218.44"/>
    <s v="Masai"/>
    <m/>
    <m/>
  </r>
  <r>
    <s v="Cincinnati Zoo"/>
    <x v="2"/>
    <d v="2019-06-17T00:00:00"/>
    <x v="1"/>
    <d v="2019-08-16T00:00:00"/>
    <s v="N"/>
    <n v="60"/>
    <n v="2"/>
    <n v="228.6"/>
    <s v="Masai"/>
    <m/>
    <m/>
  </r>
  <r>
    <s v="Cincinnati Zoo"/>
    <x v="2"/>
    <d v="2019-06-17T00:00:00"/>
    <x v="1"/>
    <d v="2019-08-22T00:00:00"/>
    <s v="N"/>
    <n v="66"/>
    <n v="2"/>
    <n v="231.14"/>
    <s v="Masai"/>
    <m/>
    <m/>
  </r>
  <r>
    <s v="Cincinnati Zoo"/>
    <x v="2"/>
    <d v="2019-06-17T00:00:00"/>
    <x v="1"/>
    <d v="2019-09-05T00:00:00"/>
    <s v="N"/>
    <n v="80"/>
    <n v="3"/>
    <n v="236.22"/>
    <s v="Masai"/>
    <m/>
    <m/>
  </r>
  <r>
    <s v="Cincinnati Zoo"/>
    <x v="2"/>
    <d v="2019-06-17T00:00:00"/>
    <x v="1"/>
    <d v="2019-09-12T00:00:00"/>
    <s v="N"/>
    <n v="87"/>
    <n v="3"/>
    <n v="238.76"/>
    <s v="Masai"/>
    <m/>
    <m/>
  </r>
  <r>
    <s v="Cincinnati Zoo"/>
    <x v="2"/>
    <d v="2019-06-17T00:00:00"/>
    <x v="1"/>
    <d v="2019-09-19T00:00:00"/>
    <s v="N"/>
    <n v="94"/>
    <n v="3"/>
    <n v="241.3"/>
    <s v="Masai"/>
    <m/>
    <m/>
  </r>
  <r>
    <s v="Cincinnati Zoo"/>
    <x v="2"/>
    <d v="2019-06-17T00:00:00"/>
    <x v="1"/>
    <d v="2019-09-27T00:00:00"/>
    <s v="N"/>
    <n v="102"/>
    <n v="3"/>
    <n v="242.57"/>
    <s v="Masai"/>
    <m/>
    <m/>
  </r>
  <r>
    <s v="Cincinnati Zoo"/>
    <x v="2"/>
    <d v="2019-06-17T00:00:00"/>
    <x v="1"/>
    <d v="2019-10-13T00:00:00"/>
    <s v="N"/>
    <n v="118"/>
    <n v="4"/>
    <n v="246.38"/>
    <s v="Masai"/>
    <m/>
    <m/>
  </r>
  <r>
    <s v="Cincinnati Zoo"/>
    <x v="2"/>
    <d v="2019-06-17T00:00:00"/>
    <x v="1"/>
    <d v="2019-10-25T00:00:00"/>
    <s v="N"/>
    <n v="130"/>
    <n v="4"/>
    <n v="252.73"/>
    <s v="Masai"/>
    <m/>
    <m/>
  </r>
  <r>
    <s v="Cincinnati Zoo"/>
    <x v="2"/>
    <d v="2019-06-17T00:00:00"/>
    <x v="1"/>
    <d v="2019-11-01T00:00:00"/>
    <s v="N"/>
    <n v="137"/>
    <n v="5"/>
    <n v="256.54000000000002"/>
    <s v="Masai"/>
    <m/>
    <m/>
  </r>
  <r>
    <s v="Cincinnati Zoo"/>
    <x v="2"/>
    <d v="2019-06-17T00:00:00"/>
    <x v="1"/>
    <d v="2019-11-21T00:00:00"/>
    <s v="N"/>
    <n v="157"/>
    <n v="5"/>
    <n v="259.08"/>
    <s v="Masai"/>
    <m/>
    <m/>
  </r>
  <r>
    <s v="Cincinnati Zoo"/>
    <x v="2"/>
    <d v="2019-06-17T00:00:00"/>
    <x v="1"/>
    <d v="2019-12-01T00:00:00"/>
    <s v="N"/>
    <n v="167"/>
    <n v="6"/>
    <n v="264.16000000000003"/>
    <s v="Masai"/>
    <m/>
    <m/>
  </r>
  <r>
    <s v="Cincinnati Zoo"/>
    <x v="2"/>
    <d v="2019-06-17T00:00:00"/>
    <x v="1"/>
    <d v="2019-12-26T00:00:00"/>
    <s v="N"/>
    <n v="192"/>
    <n v="6"/>
    <n v="271.77999999999997"/>
    <s v="Masai"/>
    <m/>
    <m/>
  </r>
  <r>
    <s v="Seneca Park Zoo"/>
    <x v="3"/>
    <d v="2017-06-04T00:00:00"/>
    <x v="0"/>
    <d v="2017-06-05T00:00:00"/>
    <s v="N"/>
    <n v="1"/>
    <n v="0"/>
    <n v="181.61"/>
    <s v="Masai"/>
    <m/>
    <m/>
  </r>
  <r>
    <s v="Seneca Park Zoo"/>
    <x v="3"/>
    <d v="2017-06-04T00:00:00"/>
    <x v="0"/>
    <d v="2019-03-27T00:00:00"/>
    <s v="N"/>
    <n v="661"/>
    <n v="22"/>
    <n v="350.52"/>
    <s v="Masai"/>
    <m/>
    <m/>
  </r>
  <r>
    <s v="Greenville Zoo"/>
    <x v="4"/>
    <d v="2019-06-30T00:00:00"/>
    <x v="1"/>
    <d v="2019-06-30T00:00:00"/>
    <s v="N"/>
    <n v="0"/>
    <n v="0"/>
    <n v="185.42"/>
    <s v="Masai"/>
    <m/>
    <m/>
  </r>
  <r>
    <s v="Greenville Zoo"/>
    <x v="4"/>
    <d v="2019-06-30T00:00:00"/>
    <x v="1"/>
    <d v="2019-07-10T00:00:00"/>
    <s v="Y"/>
    <n v="10"/>
    <n v="0"/>
    <n v="208.28"/>
    <s v="Masai"/>
    <m/>
    <m/>
  </r>
  <r>
    <s v="Greenville Zoo"/>
    <x v="4"/>
    <d v="2019-06-30T00:00:00"/>
    <x v="1"/>
    <d v="2019-07-24T00:00:00"/>
    <s v="Y"/>
    <n v="24"/>
    <n v="1"/>
    <n v="213.36"/>
    <s v="Masai"/>
    <m/>
    <m/>
  </r>
  <r>
    <s v="Greenville Zoo"/>
    <x v="4"/>
    <d v="2019-06-30T00:00:00"/>
    <x v="1"/>
    <d v="2019-08-22T00:00:00"/>
    <s v="Y"/>
    <n v="53"/>
    <n v="2"/>
    <n v="233.68"/>
    <s v="Masai"/>
    <m/>
    <m/>
  </r>
  <r>
    <s v="Greenville Zoo"/>
    <x v="5"/>
    <d v="2006-01-07T00:00:00"/>
    <x v="0"/>
    <d v="2019-07-10T00:00:00"/>
    <s v="Y"/>
    <n v="4932"/>
    <n v="164"/>
    <n v="457.2"/>
    <s v="Masai"/>
    <m/>
    <s v="Adult"/>
  </r>
  <r>
    <s v="Greenville Zoo"/>
    <x v="6"/>
    <d v="2018-01-31T00:00:00"/>
    <x v="0"/>
    <d v="2018-01-31T00:00:00"/>
    <s v="Y"/>
    <n v="0"/>
    <n v="0"/>
    <n v="187.96"/>
    <s v="Masai"/>
    <m/>
    <m/>
  </r>
  <r>
    <s v="Greenville Zoo"/>
    <x v="6"/>
    <d v="2018-01-31T00:00:00"/>
    <x v="0"/>
    <d v="2019-07-10T00:00:00"/>
    <s v="Y"/>
    <n v="525"/>
    <n v="18"/>
    <n v="335.28"/>
    <s v="Masai"/>
    <m/>
    <m/>
  </r>
  <r>
    <s v="Seneca Park Zoo"/>
    <x v="7"/>
    <d v="2017-04-03T00:00:00"/>
    <x v="0"/>
    <d v="2019-03-27T00:00:00"/>
    <s v="N"/>
    <n v="723"/>
    <n v="24"/>
    <n v="335.28"/>
    <s v="Masai"/>
    <m/>
    <m/>
  </r>
  <r>
    <s v="Cincinnati Zoo"/>
    <x v="8"/>
    <d v="2012-10-12T00:00:00"/>
    <x v="0"/>
    <d v="2012-12-10T00:00:00"/>
    <s v="Y"/>
    <n v="59"/>
    <n v="2"/>
    <n v="213.36"/>
    <s v="Masai"/>
    <m/>
    <m/>
  </r>
  <r>
    <s v="Cincinnati Zoo"/>
    <x v="8"/>
    <d v="2012-10-12T00:00:00"/>
    <x v="0"/>
    <d v="2013-01-16T00:00:00"/>
    <s v="Y"/>
    <n v="96"/>
    <n v="3"/>
    <n v="238.76"/>
    <s v="Masai"/>
    <m/>
    <m/>
  </r>
  <r>
    <s v="Kansas City Zoo"/>
    <x v="9"/>
    <d v="2018-09-30T00:00:00"/>
    <x v="1"/>
    <d v="2018-09-30T00:00:00"/>
    <s v="Y"/>
    <n v="0"/>
    <n v="0"/>
    <n v="165.1"/>
    <s v="Masai"/>
    <m/>
    <m/>
  </r>
  <r>
    <s v="Kansas City Zoo"/>
    <x v="9"/>
    <d v="2018-09-30T00:00:00"/>
    <x v="1"/>
    <d v="2018-10-03T00:00:00"/>
    <s v="Y"/>
    <n v="3"/>
    <n v="0"/>
    <n v="167.64"/>
    <s v="Masai"/>
    <m/>
    <m/>
  </r>
  <r>
    <s v="Kansas City Zoo"/>
    <x v="9"/>
    <d v="2018-09-30T00:00:00"/>
    <x v="1"/>
    <d v="2018-12-18T00:00:00"/>
    <s v="Y"/>
    <n v="79"/>
    <n v="3"/>
    <n v="236.22"/>
    <s v="Masai"/>
    <m/>
    <m/>
  </r>
  <r>
    <s v="Kansas City Zoo"/>
    <x v="9"/>
    <d v="2018-09-30T00:00:00"/>
    <x v="1"/>
    <d v="2019-01-01T00:00:00"/>
    <s v="Y"/>
    <n v="93"/>
    <n v="3"/>
    <n v="243.84"/>
    <s v="Masai"/>
    <m/>
    <m/>
  </r>
  <r>
    <s v="Kansas City Zoo"/>
    <x v="9"/>
    <d v="2018-09-30T00:00:00"/>
    <x v="1"/>
    <d v="2019-03-09T00:00:00"/>
    <s v="Y"/>
    <n v="160"/>
    <n v="5"/>
    <n v="274.32"/>
    <s v="Masai"/>
    <m/>
    <m/>
  </r>
  <r>
    <s v="Kansas City Zoo"/>
    <x v="9"/>
    <d v="2018-09-30T00:00:00"/>
    <x v="1"/>
    <d v="2019-04-01T00:00:00"/>
    <s v="Y"/>
    <n v="183"/>
    <n v="6"/>
    <n v="274.32"/>
    <s v="Masai"/>
    <m/>
    <m/>
  </r>
  <r>
    <s v="Kansas City Zoo"/>
    <x v="9"/>
    <d v="2018-09-30T00:00:00"/>
    <x v="1"/>
    <d v="2019-09-30T00:00:00"/>
    <s v="Y"/>
    <n v="365"/>
    <n v="12"/>
    <n v="299.72000000000003"/>
    <s v="Masai"/>
    <m/>
    <m/>
  </r>
  <r>
    <s v="Kansas City Zoo"/>
    <x v="9"/>
    <d v="2018-09-30T00:00:00"/>
    <x v="1"/>
    <d v="2019-12-07T00:00:00"/>
    <s v="Y"/>
    <n v="433"/>
    <n v="14"/>
    <n v="312.42"/>
    <s v="Masai"/>
    <m/>
    <m/>
  </r>
  <r>
    <s v="Greenville Zoo"/>
    <x v="10"/>
    <d v="2009-01-30T00:00:00"/>
    <x v="1"/>
    <d v="2019-07-10T00:00:00"/>
    <s v="Y"/>
    <n v="3813"/>
    <n v="127"/>
    <n v="533.4"/>
    <s v="Masai"/>
    <m/>
    <s v="Adult"/>
  </r>
  <r>
    <s v="Houston Zoo"/>
    <x v="11"/>
    <d v="2007-05-05T00:00:00"/>
    <x v="1"/>
    <d v="2010-07-17T00:00:00"/>
    <s v="Y"/>
    <n v="1169"/>
    <n v="39"/>
    <n v="375.92"/>
    <s v="Masai"/>
    <m/>
    <m/>
  </r>
  <r>
    <s v="Houston Zoo"/>
    <x v="11"/>
    <d v="2007-05-05T00:00:00"/>
    <x v="1"/>
    <d v="2011-10-20T00:00:00"/>
    <s v="Y"/>
    <n v="1629"/>
    <n v="54"/>
    <n v="434.34"/>
    <s v="Masai"/>
    <m/>
    <m/>
  </r>
  <r>
    <s v="Houston Zoo"/>
    <x v="11"/>
    <d v="2007-05-05T00:00:00"/>
    <x v="1"/>
    <d v="2012-08-29T00:00:00"/>
    <s v="Y"/>
    <n v="1943"/>
    <n v="65"/>
    <n v="447.04"/>
    <s v="Masai"/>
    <m/>
    <s v="Adult"/>
  </r>
  <r>
    <s v="Seneca Park Zoo"/>
    <x v="12"/>
    <d v="2016-08-06T00:00:00"/>
    <x v="1"/>
    <d v="2016-08-07T00:00:00"/>
    <s v="N"/>
    <n v="1"/>
    <n v="0"/>
    <n v="207.26400000000001"/>
    <s v="Masai"/>
    <m/>
    <m/>
  </r>
  <r>
    <s v="Seneca Park Zoo"/>
    <x v="12"/>
    <d v="2016-08-06T00:00:00"/>
    <x v="1"/>
    <d v="2016-09-19T00:00:00"/>
    <s v="N"/>
    <n v="44"/>
    <n v="1"/>
    <n v="213.36"/>
    <s v="Masai"/>
    <m/>
    <m/>
  </r>
  <r>
    <s v="Seneca Park Zoo"/>
    <x v="12"/>
    <d v="2016-08-06T00:00:00"/>
    <x v="1"/>
    <d v="2016-10-03T00:00:00"/>
    <s v="N"/>
    <n v="58"/>
    <n v="2"/>
    <n v="240.792"/>
    <s v="Masai"/>
    <m/>
    <m/>
  </r>
  <r>
    <s v="Seneca Park Zoo"/>
    <x v="12"/>
    <d v="2016-08-06T00:00:00"/>
    <x v="1"/>
    <d v="2016-11-30T00:00:00"/>
    <s v="N"/>
    <n v="116"/>
    <n v="4"/>
    <n v="265.17599999999999"/>
    <s v="Masai"/>
    <m/>
    <m/>
  </r>
  <r>
    <s v="Seneca Park Zoo"/>
    <x v="12"/>
    <d v="2016-08-06T00:00:00"/>
    <x v="1"/>
    <d v="2019-03-27T00:00:00"/>
    <s v="N"/>
    <n v="963"/>
    <n v="32"/>
    <n v="365.76"/>
    <s v="Masai"/>
    <m/>
    <m/>
  </r>
  <r>
    <s v="Brevard Zoo"/>
    <x v="13"/>
    <d v="2018-10-19T00:00:00"/>
    <x v="1"/>
    <d v="2018-10-19T00:00:00"/>
    <s v="Y"/>
    <n v="0"/>
    <n v="0"/>
    <n v="182.88"/>
    <s v="Masai"/>
    <m/>
    <m/>
  </r>
  <r>
    <s v="Brevard Zoo"/>
    <x v="13"/>
    <d v="2018-10-19T00:00:00"/>
    <x v="1"/>
    <d v="2018-11-04T00:00:00"/>
    <s v="Y"/>
    <n v="16"/>
    <n v="1"/>
    <n v="208.28"/>
    <s v="Masai"/>
    <m/>
    <m/>
  </r>
  <r>
    <s v="Brevard Zoo"/>
    <x v="13"/>
    <d v="2018-10-19T00:00:00"/>
    <x v="1"/>
    <d v="2018-11-12T00:00:00"/>
    <s v="Y"/>
    <n v="24"/>
    <n v="1"/>
    <n v="213.36"/>
    <s v="Masai"/>
    <m/>
    <m/>
  </r>
  <r>
    <s v="Brevard Zoo"/>
    <x v="13"/>
    <d v="2018-10-19T00:00:00"/>
    <x v="1"/>
    <d v="2018-11-19T00:00:00"/>
    <s v="Y"/>
    <n v="31"/>
    <n v="1"/>
    <n v="213.36"/>
    <s v="Masai"/>
    <m/>
    <m/>
  </r>
  <r>
    <s v="Brevard Zoo"/>
    <x v="13"/>
    <d v="2018-10-19T00:00:00"/>
    <x v="1"/>
    <d v="2018-11-26T00:00:00"/>
    <s v="Y"/>
    <n v="38"/>
    <n v="1"/>
    <n v="218.44"/>
    <s v="Masai"/>
    <m/>
    <m/>
  </r>
  <r>
    <s v="Brevard Zoo"/>
    <x v="13"/>
    <d v="2018-10-19T00:00:00"/>
    <x v="1"/>
    <d v="2018-12-03T00:00:00"/>
    <s v="Y"/>
    <n v="45"/>
    <n v="2"/>
    <n v="218.44"/>
    <s v="Masai"/>
    <m/>
    <m/>
  </r>
  <r>
    <s v="Brevard Zoo"/>
    <x v="13"/>
    <d v="2018-10-19T00:00:00"/>
    <x v="1"/>
    <d v="2018-12-10T00:00:00"/>
    <s v="Y"/>
    <n v="52"/>
    <n v="2"/>
    <n v="220.98"/>
    <s v="Masai"/>
    <m/>
    <m/>
  </r>
  <r>
    <s v="Brevard Zoo"/>
    <x v="13"/>
    <d v="2018-10-19T00:00:00"/>
    <x v="1"/>
    <d v="2018-12-17T00:00:00"/>
    <s v="Y"/>
    <n v="59"/>
    <n v="2"/>
    <n v="223.52"/>
    <s v="Masai"/>
    <m/>
    <m/>
  </r>
  <r>
    <s v="Brevard Zoo"/>
    <x v="13"/>
    <d v="2018-10-19T00:00:00"/>
    <x v="1"/>
    <d v="2018-12-25T00:00:00"/>
    <s v="Y"/>
    <n v="67"/>
    <n v="2"/>
    <n v="228.6"/>
    <s v="Masai"/>
    <m/>
    <m/>
  </r>
  <r>
    <s v="Brevard Zoo"/>
    <x v="13"/>
    <d v="2018-10-19T00:00:00"/>
    <x v="1"/>
    <d v="2018-12-31T00:00:00"/>
    <s v="Y"/>
    <n v="73"/>
    <n v="2"/>
    <n v="233.68"/>
    <s v="Masai"/>
    <m/>
    <m/>
  </r>
  <r>
    <s v="Brevard Zoo"/>
    <x v="13"/>
    <d v="2018-10-19T00:00:00"/>
    <x v="1"/>
    <d v="2019-01-08T00:00:00"/>
    <s v="Y"/>
    <n v="81"/>
    <n v="3"/>
    <n v="241.3"/>
    <s v="Masai"/>
    <m/>
    <m/>
  </r>
  <r>
    <s v="Brevard Zoo"/>
    <x v="13"/>
    <d v="2018-10-19T00:00:00"/>
    <x v="1"/>
    <d v="2019-01-14T00:00:00"/>
    <s v="Y"/>
    <n v="87"/>
    <n v="3"/>
    <n v="243.84"/>
    <s v="Masai"/>
    <m/>
    <m/>
  </r>
  <r>
    <s v="Brevard Zoo"/>
    <x v="13"/>
    <d v="2018-10-19T00:00:00"/>
    <x v="1"/>
    <d v="2019-02-26T00:00:00"/>
    <s v="Y"/>
    <n v="130"/>
    <n v="4"/>
    <n v="254"/>
    <s v="Masai"/>
    <m/>
    <m/>
  </r>
  <r>
    <s v="Brevard Zoo"/>
    <x v="13"/>
    <d v="2018-10-19T00:00:00"/>
    <x v="1"/>
    <d v="2019-03-19T00:00:00"/>
    <s v="Y"/>
    <n v="151"/>
    <n v="5"/>
    <n v="261.62"/>
    <s v="Masai"/>
    <m/>
    <m/>
  </r>
  <r>
    <s v="Brevard Zoo"/>
    <x v="13"/>
    <d v="2018-10-19T00:00:00"/>
    <x v="1"/>
    <d v="2019-04-18T00:00:00"/>
    <s v="Y"/>
    <n v="181"/>
    <n v="6"/>
    <n v="266.7"/>
    <s v="Masai"/>
    <m/>
    <m/>
  </r>
  <r>
    <s v="Brevard Zoo"/>
    <x v="13"/>
    <d v="2018-10-19T00:00:00"/>
    <x v="1"/>
    <d v="2019-05-20T00:00:00"/>
    <s v="Y"/>
    <n v="213"/>
    <n v="7"/>
    <n v="274.32"/>
    <s v="Masai"/>
    <m/>
    <m/>
  </r>
  <r>
    <s v="Cincinnati Zoo"/>
    <x v="14"/>
    <d v="2019-11-23T00:00:00"/>
    <x v="1"/>
    <d v="2019-11-27T00:00:00"/>
    <s v="N"/>
    <n v="4"/>
    <n v="0"/>
    <n v="175.26"/>
    <s v="Masai"/>
    <m/>
    <m/>
  </r>
  <r>
    <s v="Cincinnati Zoo"/>
    <x v="15"/>
    <d v="2016-09-13T00:00:00"/>
    <x v="0"/>
    <d v="2019-12-27T00:00:00"/>
    <s v="Y"/>
    <n v="1200"/>
    <n v="40"/>
    <n v="363.22"/>
    <s v="Masai"/>
    <m/>
    <m/>
  </r>
  <r>
    <s v="Zoo New England"/>
    <x v="16"/>
    <d v="2016-07-24T00:00:00"/>
    <x v="0"/>
    <d v="2019-05-19T00:00:00"/>
    <s v="N"/>
    <n v="1029"/>
    <n v="34"/>
    <n v="411.48"/>
    <s v="Masai"/>
    <m/>
    <m/>
  </r>
  <r>
    <s v="Zoo New England"/>
    <x v="17"/>
    <d v="2016-03-26T00:00:00"/>
    <x v="1"/>
    <d v="2019-05-19T00:00:00"/>
    <s v="N"/>
    <n v="1149"/>
    <n v="38"/>
    <n v="426.72"/>
    <s v="Masai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CAB64-7C35-44A1-973E-E3AF599E6F94}" name="PivotTable1" cacheId="16" applyNumberFormats="0" applyBorderFormats="0" applyFontFormats="0" applyPatternFormats="0" applyAlignmentFormats="0" applyWidthHeightFormats="1" dataCaption="Values" updatedVersion="8" minRefreshableVersion="3" itemPrintTitles="1" createdVersion="8" indent="0" multipleFieldFilters="0">
  <location ref="A3:B22" firstHeaderRow="1" firstDataRow="1" firstDataCol="1"/>
  <pivotFields count="12"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8"/>
        <item x="16"/>
        <item x="17"/>
        <item t="default"/>
      </items>
    </pivotField>
    <pivotField dataField="1" numFmtId="14" showAll="0"/>
    <pivotField showAll="0">
      <items count="3">
        <item x="0"/>
        <item x="1"/>
        <item t="default"/>
      </items>
    </pivotField>
    <pivotField numFmtId="14" showAll="0"/>
    <pivotField showAll="0"/>
    <pivotField numFmtId="1" showAll="0"/>
    <pivotField numFmtId="1" showAll="0"/>
    <pivotField numFmtId="1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dataFields count="1">
    <dataField name="Count of Birthda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A7C47-0ED2-4B24-BE8D-5DCFC276F4BB}" name="Table1" displayName="Table1" ref="A3:L5" totalsRowShown="0">
  <autoFilter ref="A3:L5" xr:uid="{82EA7C47-0ED2-4B24-BE8D-5DCFC276F4BB}"/>
  <tableColumns count="12">
    <tableColumn id="1" xr3:uid="{3A245340-3EA7-4474-9D97-5DA1FA5568BA}" name="Zoo"/>
    <tableColumn id="2" xr3:uid="{F5134CCF-F205-43F1-83A3-1DD38BE3E1DA}" name="Name"/>
    <tableColumn id="3" xr3:uid="{E99FA8E3-5E56-4FB5-9A02-8FFF03487C20}" name="Birthday" dataDxfId="1"/>
    <tableColumn id="4" xr3:uid="{3EB2116C-07C7-4301-8280-E2FCC40E8297}" name="Sex (M/F)"/>
    <tableColumn id="5" xr3:uid="{14ADD12E-6567-442B-AFE0-2F011CFCE1EA}" name="Date of Measurement" dataDxfId="0"/>
    <tableColumn id="6" xr3:uid="{E00F0F4B-89A3-4797-B824-DCDE11C1D655}" name="Ossicones (Y/N)"/>
    <tableColumn id="7" xr3:uid="{A01A877D-AF1A-41CA-B3A5-C68E945070BF}" name="Age (days)"/>
    <tableColumn id="8" xr3:uid="{AD26FADB-BBA0-4E76-9BE0-F6467165E061}" name="Age (months)"/>
    <tableColumn id="9" xr3:uid="{9A748BDF-7B00-4EC1-9031-74619D36BCB0}" name="Height (cm)"/>
    <tableColumn id="10" xr3:uid="{EE3CF9B3-EEA6-4DC7-9756-D1FCA187A986}" name="Subspecies"/>
    <tableColumn id="11" xr3:uid="{05E4ABAE-3BE4-4FA7-A309-E86E0C132173}" name="Other"/>
    <tableColumn id="12" xr3:uid="{C098A480-215A-45E7-B59B-0934B95DEAA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BD0E-7588-4289-9FE0-3BEC146C85E3}">
  <dimension ref="A1:L5"/>
  <sheetViews>
    <sheetView workbookViewId="0">
      <selection activeCell="A3" sqref="A3:L5"/>
    </sheetView>
  </sheetViews>
  <sheetFormatPr defaultRowHeight="14.4" x14ac:dyDescent="0.3"/>
  <cols>
    <col min="1" max="1" width="15.21875" bestFit="1" customWidth="1"/>
    <col min="2" max="2" width="9" bestFit="1" customWidth="1"/>
    <col min="3" max="3" width="10.33203125" bestFit="1" customWidth="1"/>
    <col min="4" max="4" width="11.44140625" bestFit="1" customWidth="1"/>
    <col min="5" max="5" width="21.77734375" bestFit="1" customWidth="1"/>
    <col min="6" max="6" width="16.5546875" bestFit="1" customWidth="1"/>
    <col min="7" max="7" width="12.109375" bestFit="1" customWidth="1"/>
    <col min="8" max="8" width="14.6640625" bestFit="1" customWidth="1"/>
    <col min="9" max="9" width="13" bestFit="1" customWidth="1"/>
    <col min="10" max="10" width="12.44140625" bestFit="1" customWidth="1"/>
    <col min="11" max="12" width="9" bestFit="1" customWidth="1"/>
  </cols>
  <sheetData>
    <row r="1" spans="1:12" x14ac:dyDescent="0.3">
      <c r="A1" s="6" t="s">
        <v>44</v>
      </c>
    </row>
    <row r="3" spans="1:12" x14ac:dyDescent="0.3">
      <c r="A3" t="s">
        <v>2</v>
      </c>
      <c r="B3" t="s">
        <v>1</v>
      </c>
      <c r="C3" t="s">
        <v>3</v>
      </c>
      <c r="D3" t="s">
        <v>13</v>
      </c>
      <c r="E3" t="s">
        <v>12</v>
      </c>
      <c r="F3" t="s">
        <v>14</v>
      </c>
      <c r="G3" t="s">
        <v>39</v>
      </c>
      <c r="H3" t="s">
        <v>40</v>
      </c>
      <c r="I3" t="s">
        <v>0</v>
      </c>
      <c r="J3" t="s">
        <v>6</v>
      </c>
      <c r="K3" t="s">
        <v>11</v>
      </c>
      <c r="L3" t="s">
        <v>33</v>
      </c>
    </row>
    <row r="4" spans="1:12" x14ac:dyDescent="0.3">
      <c r="A4" t="s">
        <v>26</v>
      </c>
      <c r="C4" s="1">
        <v>42455</v>
      </c>
      <c r="D4" t="s">
        <v>9</v>
      </c>
      <c r="E4" s="1">
        <v>43604</v>
      </c>
      <c r="F4" t="s">
        <v>8</v>
      </c>
      <c r="G4">
        <v>1149</v>
      </c>
      <c r="H4">
        <v>38</v>
      </c>
      <c r="I4">
        <v>426.72</v>
      </c>
      <c r="J4" t="s">
        <v>7</v>
      </c>
    </row>
    <row r="5" spans="1:12" x14ac:dyDescent="0.3">
      <c r="A5" t="s">
        <v>26</v>
      </c>
      <c r="C5" s="1">
        <v>42575</v>
      </c>
      <c r="D5" t="s">
        <v>10</v>
      </c>
      <c r="E5" s="1">
        <v>43604</v>
      </c>
      <c r="F5" t="s">
        <v>8</v>
      </c>
      <c r="G5">
        <v>1029</v>
      </c>
      <c r="H5">
        <v>34</v>
      </c>
      <c r="I5">
        <v>411.48</v>
      </c>
      <c r="J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221B-5CB1-4A3C-A8C3-23333F10E2C5}">
  <dimension ref="A3:D22"/>
  <sheetViews>
    <sheetView tabSelected="1" workbookViewId="0">
      <selection activeCell="C8" sqref="C8"/>
    </sheetView>
  </sheetViews>
  <sheetFormatPr defaultRowHeight="14.4" x14ac:dyDescent="0.3"/>
  <cols>
    <col min="1" max="2" width="16" bestFit="1" customWidth="1"/>
    <col min="3" max="4" width="16.44140625" bestFit="1" customWidth="1"/>
    <col min="5" max="5" width="20.77734375" bestFit="1" customWidth="1"/>
    <col min="6" max="6" width="21.33203125" bestFit="1" customWidth="1"/>
  </cols>
  <sheetData>
    <row r="3" spans="1:4" x14ac:dyDescent="0.3">
      <c r="A3" s="3" t="s">
        <v>41</v>
      </c>
      <c r="B3" t="s">
        <v>43</v>
      </c>
    </row>
    <row r="4" spans="1:4" x14ac:dyDescent="0.3">
      <c r="A4" s="4" t="s">
        <v>38</v>
      </c>
      <c r="B4" s="5">
        <v>4</v>
      </c>
      <c r="C4">
        <f>B4/365</f>
        <v>1.0958904109589041E-2</v>
      </c>
      <c r="D4">
        <f>C4*12</f>
        <v>0.13150684931506851</v>
      </c>
    </row>
    <row r="5" spans="1:4" x14ac:dyDescent="0.3">
      <c r="A5" s="4" t="s">
        <v>37</v>
      </c>
      <c r="B5" s="5">
        <v>7</v>
      </c>
    </row>
    <row r="6" spans="1:4" x14ac:dyDescent="0.3">
      <c r="A6" s="4" t="s">
        <v>31</v>
      </c>
      <c r="B6" s="5">
        <v>17</v>
      </c>
      <c r="C6">
        <f>MEDIAN(B4:B21)</f>
        <v>2</v>
      </c>
    </row>
    <row r="7" spans="1:4" x14ac:dyDescent="0.3">
      <c r="A7" s="4" t="s">
        <v>17</v>
      </c>
      <c r="B7" s="5">
        <v>2</v>
      </c>
      <c r="C7">
        <f>MEDIAN(B4:B21)</f>
        <v>2</v>
      </c>
    </row>
    <row r="8" spans="1:4" x14ac:dyDescent="0.3">
      <c r="A8" s="4" t="s">
        <v>21</v>
      </c>
      <c r="B8" s="5">
        <v>4</v>
      </c>
      <c r="C8">
        <f>STDEV(B4:B21)</f>
        <v>4.9325516073810238</v>
      </c>
    </row>
    <row r="9" spans="1:4" x14ac:dyDescent="0.3">
      <c r="A9" s="4" t="s">
        <v>24</v>
      </c>
      <c r="B9" s="5">
        <v>1</v>
      </c>
    </row>
    <row r="10" spans="1:4" x14ac:dyDescent="0.3">
      <c r="A10" s="4" t="s">
        <v>23</v>
      </c>
      <c r="B10" s="5">
        <v>2</v>
      </c>
    </row>
    <row r="11" spans="1:4" x14ac:dyDescent="0.3">
      <c r="A11" s="4" t="s">
        <v>16</v>
      </c>
      <c r="B11" s="5">
        <v>1</v>
      </c>
    </row>
    <row r="12" spans="1:4" x14ac:dyDescent="0.3">
      <c r="A12" s="4" t="s">
        <v>29</v>
      </c>
      <c r="B12" s="5">
        <v>2</v>
      </c>
    </row>
    <row r="13" spans="1:4" x14ac:dyDescent="0.3">
      <c r="A13" s="4" t="s">
        <v>36</v>
      </c>
      <c r="B13" s="5">
        <v>8</v>
      </c>
    </row>
    <row r="14" spans="1:4" x14ac:dyDescent="0.3">
      <c r="A14" s="4" t="s">
        <v>25</v>
      </c>
      <c r="B14" s="5">
        <v>1</v>
      </c>
    </row>
    <row r="15" spans="1:4" x14ac:dyDescent="0.3">
      <c r="A15" s="4" t="s">
        <v>28</v>
      </c>
      <c r="B15" s="5">
        <v>3</v>
      </c>
    </row>
    <row r="16" spans="1:4" x14ac:dyDescent="0.3">
      <c r="A16" s="4" t="s">
        <v>18</v>
      </c>
      <c r="B16" s="5">
        <v>5</v>
      </c>
    </row>
    <row r="17" spans="1:2" x14ac:dyDescent="0.3">
      <c r="A17" s="4" t="s">
        <v>19</v>
      </c>
      <c r="B17" s="5">
        <v>16</v>
      </c>
    </row>
    <row r="18" spans="1:2" x14ac:dyDescent="0.3">
      <c r="A18" s="4" t="s">
        <v>27</v>
      </c>
      <c r="B18" s="5">
        <v>1</v>
      </c>
    </row>
    <row r="19" spans="1:2" x14ac:dyDescent="0.3">
      <c r="A19" s="4" t="s">
        <v>30</v>
      </c>
      <c r="B19" s="5">
        <v>1</v>
      </c>
    </row>
    <row r="20" spans="1:2" x14ac:dyDescent="0.3">
      <c r="A20" s="4" t="s">
        <v>45</v>
      </c>
      <c r="B20" s="5">
        <v>1</v>
      </c>
    </row>
    <row r="21" spans="1:2" x14ac:dyDescent="0.3">
      <c r="A21" s="4" t="s">
        <v>46</v>
      </c>
      <c r="B21" s="5">
        <v>1</v>
      </c>
    </row>
    <row r="22" spans="1:2" x14ac:dyDescent="0.3">
      <c r="A22" s="4" t="s">
        <v>42</v>
      </c>
      <c r="B22" s="5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"/>
  <sheetViews>
    <sheetView zoomScale="96" zoomScaleNormal="96" workbookViewId="0">
      <pane ySplit="1" topLeftCell="A55" activePane="bottomLeft" state="frozen"/>
      <selection pane="bottomLeft" activeCell="I80" sqref="I80"/>
    </sheetView>
  </sheetViews>
  <sheetFormatPr defaultRowHeight="14.4" x14ac:dyDescent="0.3"/>
  <cols>
    <col min="1" max="1" width="23.88671875" customWidth="1"/>
    <col min="2" max="2" width="14.6640625" customWidth="1"/>
    <col min="3" max="3" width="13.6640625" customWidth="1"/>
    <col min="4" max="4" width="9.5546875" bestFit="1" customWidth="1"/>
    <col min="5" max="5" width="20.5546875" bestFit="1" customWidth="1"/>
    <col min="6" max="6" width="17" customWidth="1"/>
    <col min="7" max="7" width="12.5546875" style="2" customWidth="1"/>
    <col min="8" max="8" width="14.5546875" style="2" customWidth="1"/>
    <col min="9" max="9" width="11.33203125" style="2" bestFit="1" customWidth="1"/>
    <col min="10" max="10" width="12.5546875" customWidth="1"/>
    <col min="11" max="11" width="12.6640625" customWidth="1"/>
  </cols>
  <sheetData>
    <row r="1" spans="1:12" x14ac:dyDescent="0.3">
      <c r="A1" t="s">
        <v>2</v>
      </c>
      <c r="B1" t="s">
        <v>1</v>
      </c>
      <c r="C1" t="s">
        <v>3</v>
      </c>
      <c r="D1" t="s">
        <v>13</v>
      </c>
      <c r="E1" t="s">
        <v>12</v>
      </c>
      <c r="F1" t="s">
        <v>14</v>
      </c>
      <c r="G1" s="2" t="s">
        <v>39</v>
      </c>
      <c r="H1" s="2" t="s">
        <v>40</v>
      </c>
      <c r="I1" s="2" t="s">
        <v>0</v>
      </c>
      <c r="J1" t="s">
        <v>6</v>
      </c>
      <c r="K1" t="s">
        <v>11</v>
      </c>
      <c r="L1" t="s">
        <v>33</v>
      </c>
    </row>
    <row r="2" spans="1:12" x14ac:dyDescent="0.3">
      <c r="A2" t="s">
        <v>35</v>
      </c>
      <c r="B2" t="s">
        <v>38</v>
      </c>
      <c r="C2" s="1">
        <v>43711</v>
      </c>
      <c r="D2" t="s">
        <v>10</v>
      </c>
      <c r="E2" s="1">
        <v>43713</v>
      </c>
      <c r="F2" t="s">
        <v>4</v>
      </c>
      <c r="G2" s="2">
        <v>2</v>
      </c>
      <c r="H2" s="2">
        <f t="shared" ref="H2:H33" si="0">ROUND(G2/30,0)</f>
        <v>0</v>
      </c>
      <c r="I2" s="2">
        <v>172.72</v>
      </c>
      <c r="J2" t="s">
        <v>7</v>
      </c>
    </row>
    <row r="3" spans="1:12" x14ac:dyDescent="0.3">
      <c r="A3" t="s">
        <v>35</v>
      </c>
      <c r="B3" t="s">
        <v>38</v>
      </c>
      <c r="C3" s="1">
        <v>43711</v>
      </c>
      <c r="D3" t="s">
        <v>10</v>
      </c>
      <c r="E3" s="1">
        <v>43734</v>
      </c>
      <c r="F3" t="s">
        <v>4</v>
      </c>
      <c r="G3" s="2">
        <v>23</v>
      </c>
      <c r="H3" s="2">
        <f t="shared" si="0"/>
        <v>1</v>
      </c>
      <c r="I3" s="2">
        <v>182.88</v>
      </c>
      <c r="J3" t="s">
        <v>7</v>
      </c>
    </row>
    <row r="4" spans="1:12" x14ac:dyDescent="0.3">
      <c r="A4" t="s">
        <v>35</v>
      </c>
      <c r="B4" t="s">
        <v>38</v>
      </c>
      <c r="C4" s="1">
        <v>43711</v>
      </c>
      <c r="D4" t="s">
        <v>10</v>
      </c>
      <c r="E4" s="1">
        <v>43740</v>
      </c>
      <c r="F4" t="s">
        <v>4</v>
      </c>
      <c r="G4" s="2">
        <v>29</v>
      </c>
      <c r="H4" s="2">
        <f t="shared" si="0"/>
        <v>1</v>
      </c>
      <c r="I4" s="2">
        <v>185.42</v>
      </c>
      <c r="J4" t="s">
        <v>7</v>
      </c>
    </row>
    <row r="5" spans="1:12" x14ac:dyDescent="0.3">
      <c r="A5" t="s">
        <v>35</v>
      </c>
      <c r="B5" t="s">
        <v>38</v>
      </c>
      <c r="C5" s="1">
        <v>43711</v>
      </c>
      <c r="D5" t="s">
        <v>10</v>
      </c>
      <c r="E5" s="1">
        <v>43753</v>
      </c>
      <c r="F5" t="s">
        <v>4</v>
      </c>
      <c r="G5" s="2">
        <v>42</v>
      </c>
      <c r="H5" s="2">
        <f t="shared" si="0"/>
        <v>1</v>
      </c>
      <c r="I5" s="2">
        <v>190.5</v>
      </c>
      <c r="J5" t="s">
        <v>7</v>
      </c>
    </row>
    <row r="6" spans="1:12" x14ac:dyDescent="0.3">
      <c r="A6" t="s">
        <v>35</v>
      </c>
      <c r="B6" t="s">
        <v>37</v>
      </c>
      <c r="C6" s="1">
        <v>43133</v>
      </c>
      <c r="D6" t="s">
        <v>10</v>
      </c>
      <c r="E6" s="1">
        <v>43133</v>
      </c>
      <c r="F6" t="s">
        <v>4</v>
      </c>
      <c r="G6" s="2">
        <v>0</v>
      </c>
      <c r="H6" s="2">
        <f t="shared" si="0"/>
        <v>0</v>
      </c>
      <c r="I6" s="2">
        <v>152.4</v>
      </c>
      <c r="J6" t="s">
        <v>7</v>
      </c>
    </row>
    <row r="7" spans="1:12" x14ac:dyDescent="0.3">
      <c r="A7" t="s">
        <v>35</v>
      </c>
      <c r="B7" t="s">
        <v>37</v>
      </c>
      <c r="C7" s="1">
        <v>43133</v>
      </c>
      <c r="D7" t="s">
        <v>10</v>
      </c>
      <c r="E7" s="1">
        <v>43452</v>
      </c>
      <c r="F7" t="s">
        <v>4</v>
      </c>
      <c r="G7" s="2">
        <v>319</v>
      </c>
      <c r="H7" s="2">
        <f t="shared" si="0"/>
        <v>11</v>
      </c>
      <c r="I7" s="2">
        <v>259.08</v>
      </c>
      <c r="J7" t="s">
        <v>7</v>
      </c>
    </row>
    <row r="8" spans="1:12" x14ac:dyDescent="0.3">
      <c r="A8" t="s">
        <v>35</v>
      </c>
      <c r="B8" t="s">
        <v>37</v>
      </c>
      <c r="C8" s="1">
        <v>43133</v>
      </c>
      <c r="D8" t="s">
        <v>10</v>
      </c>
      <c r="E8" s="1">
        <v>43467</v>
      </c>
      <c r="F8" t="s">
        <v>4</v>
      </c>
      <c r="G8" s="2">
        <v>334</v>
      </c>
      <c r="H8" s="2">
        <f t="shared" si="0"/>
        <v>11</v>
      </c>
      <c r="I8" s="2">
        <v>261.62</v>
      </c>
      <c r="J8" t="s">
        <v>7</v>
      </c>
    </row>
    <row r="9" spans="1:12" x14ac:dyDescent="0.3">
      <c r="A9" t="s">
        <v>35</v>
      </c>
      <c r="B9" t="s">
        <v>37</v>
      </c>
      <c r="C9" s="1">
        <v>43133</v>
      </c>
      <c r="D9" t="s">
        <v>10</v>
      </c>
      <c r="E9" s="1">
        <v>43498</v>
      </c>
      <c r="F9" t="s">
        <v>4</v>
      </c>
      <c r="G9" s="2">
        <v>365</v>
      </c>
      <c r="H9" s="2">
        <f t="shared" si="0"/>
        <v>12</v>
      </c>
      <c r="I9" s="2">
        <v>274.32</v>
      </c>
      <c r="J9" t="s">
        <v>7</v>
      </c>
    </row>
    <row r="10" spans="1:12" x14ac:dyDescent="0.3">
      <c r="A10" t="s">
        <v>35</v>
      </c>
      <c r="B10" t="s">
        <v>37</v>
      </c>
      <c r="C10" s="1">
        <v>43133</v>
      </c>
      <c r="D10" t="s">
        <v>10</v>
      </c>
      <c r="E10" s="1">
        <v>43588</v>
      </c>
      <c r="F10" t="s">
        <v>4</v>
      </c>
      <c r="G10" s="2">
        <v>455</v>
      </c>
      <c r="H10" s="2">
        <f t="shared" si="0"/>
        <v>15</v>
      </c>
      <c r="I10" s="2">
        <v>289.56</v>
      </c>
      <c r="J10" t="s">
        <v>7</v>
      </c>
    </row>
    <row r="11" spans="1:12" x14ac:dyDescent="0.3">
      <c r="A11" t="s">
        <v>35</v>
      </c>
      <c r="B11" t="s">
        <v>37</v>
      </c>
      <c r="C11" s="1">
        <v>43133</v>
      </c>
      <c r="D11" t="s">
        <v>10</v>
      </c>
      <c r="E11" s="1">
        <v>43679</v>
      </c>
      <c r="F11" t="s">
        <v>4</v>
      </c>
      <c r="G11" s="2">
        <v>546</v>
      </c>
      <c r="H11" s="2">
        <f t="shared" si="0"/>
        <v>18</v>
      </c>
      <c r="I11" s="2">
        <v>292.10000000000002</v>
      </c>
      <c r="J11" t="s">
        <v>7</v>
      </c>
    </row>
    <row r="12" spans="1:12" x14ac:dyDescent="0.3">
      <c r="A12" t="s">
        <v>35</v>
      </c>
      <c r="B12" t="s">
        <v>37</v>
      </c>
      <c r="C12" s="1">
        <v>43133</v>
      </c>
      <c r="D12" t="s">
        <v>10</v>
      </c>
      <c r="E12" s="1">
        <v>43776</v>
      </c>
      <c r="F12" t="s">
        <v>4</v>
      </c>
      <c r="G12" s="2">
        <v>643</v>
      </c>
      <c r="H12" s="2">
        <f t="shared" si="0"/>
        <v>21</v>
      </c>
      <c r="I12" s="2">
        <v>304.8</v>
      </c>
      <c r="J12" t="s">
        <v>7</v>
      </c>
    </row>
    <row r="13" spans="1:12" x14ac:dyDescent="0.3">
      <c r="A13" t="s">
        <v>22</v>
      </c>
      <c r="B13" t="s">
        <v>31</v>
      </c>
      <c r="C13" s="1">
        <v>43633</v>
      </c>
      <c r="D13" t="s">
        <v>9</v>
      </c>
      <c r="E13" s="1">
        <v>43635</v>
      </c>
      <c r="F13" t="s">
        <v>8</v>
      </c>
      <c r="G13" s="2">
        <v>2</v>
      </c>
      <c r="H13" s="2">
        <f t="shared" si="0"/>
        <v>0</v>
      </c>
      <c r="I13" s="2">
        <v>177.8</v>
      </c>
      <c r="J13" t="s">
        <v>7</v>
      </c>
    </row>
    <row r="14" spans="1:12" x14ac:dyDescent="0.3">
      <c r="A14" t="s">
        <v>22</v>
      </c>
      <c r="B14" t="s">
        <v>31</v>
      </c>
      <c r="C14" s="1">
        <v>43633</v>
      </c>
      <c r="D14" t="s">
        <v>9</v>
      </c>
      <c r="E14" s="1">
        <v>43657</v>
      </c>
      <c r="F14" t="s">
        <v>8</v>
      </c>
      <c r="G14" s="2">
        <v>24</v>
      </c>
      <c r="H14" s="2">
        <f t="shared" si="0"/>
        <v>1</v>
      </c>
      <c r="I14" s="2">
        <v>198.12</v>
      </c>
      <c r="J14" t="s">
        <v>7</v>
      </c>
    </row>
    <row r="15" spans="1:12" x14ac:dyDescent="0.3">
      <c r="A15" t="s">
        <v>22</v>
      </c>
      <c r="B15" t="s">
        <v>31</v>
      </c>
      <c r="C15" s="1">
        <v>43633</v>
      </c>
      <c r="D15" t="s">
        <v>9</v>
      </c>
      <c r="E15" s="1">
        <v>43664</v>
      </c>
      <c r="F15" t="s">
        <v>8</v>
      </c>
      <c r="G15" s="2">
        <v>31</v>
      </c>
      <c r="H15" s="2">
        <f t="shared" si="0"/>
        <v>1</v>
      </c>
      <c r="I15" s="2">
        <v>203.2</v>
      </c>
      <c r="J15" t="s">
        <v>7</v>
      </c>
    </row>
    <row r="16" spans="1:12" x14ac:dyDescent="0.3">
      <c r="A16" t="s">
        <v>22</v>
      </c>
      <c r="B16" t="s">
        <v>31</v>
      </c>
      <c r="C16" s="1">
        <v>43633</v>
      </c>
      <c r="D16" t="s">
        <v>9</v>
      </c>
      <c r="E16" s="1">
        <v>43677</v>
      </c>
      <c r="F16" t="s">
        <v>8</v>
      </c>
      <c r="G16" s="2">
        <v>44</v>
      </c>
      <c r="H16" s="2">
        <f t="shared" si="0"/>
        <v>1</v>
      </c>
      <c r="I16" s="2">
        <v>210.82</v>
      </c>
      <c r="J16" t="s">
        <v>7</v>
      </c>
    </row>
    <row r="17" spans="1:10" x14ac:dyDescent="0.3">
      <c r="A17" t="s">
        <v>22</v>
      </c>
      <c r="B17" t="s">
        <v>31</v>
      </c>
      <c r="C17" s="1">
        <v>43633</v>
      </c>
      <c r="D17" t="s">
        <v>9</v>
      </c>
      <c r="E17" s="1">
        <v>43685</v>
      </c>
      <c r="F17" t="s">
        <v>8</v>
      </c>
      <c r="G17" s="2">
        <v>52</v>
      </c>
      <c r="H17" s="2">
        <f t="shared" si="0"/>
        <v>2</v>
      </c>
      <c r="I17" s="2">
        <v>218.44</v>
      </c>
      <c r="J17" t="s">
        <v>7</v>
      </c>
    </row>
    <row r="18" spans="1:10" x14ac:dyDescent="0.3">
      <c r="A18" t="s">
        <v>22</v>
      </c>
      <c r="B18" t="s">
        <v>31</v>
      </c>
      <c r="C18" s="1">
        <v>43633</v>
      </c>
      <c r="D18" t="s">
        <v>9</v>
      </c>
      <c r="E18" s="1">
        <v>43693</v>
      </c>
      <c r="F18" t="s">
        <v>8</v>
      </c>
      <c r="G18" s="2">
        <v>60</v>
      </c>
      <c r="H18" s="2">
        <f t="shared" si="0"/>
        <v>2</v>
      </c>
      <c r="I18" s="2">
        <v>228.6</v>
      </c>
      <c r="J18" t="s">
        <v>7</v>
      </c>
    </row>
    <row r="19" spans="1:10" x14ac:dyDescent="0.3">
      <c r="A19" t="s">
        <v>22</v>
      </c>
      <c r="B19" t="s">
        <v>31</v>
      </c>
      <c r="C19" s="1">
        <v>43633</v>
      </c>
      <c r="D19" t="s">
        <v>9</v>
      </c>
      <c r="E19" s="1">
        <v>43699</v>
      </c>
      <c r="F19" t="s">
        <v>8</v>
      </c>
      <c r="G19" s="2">
        <v>66</v>
      </c>
      <c r="H19" s="2">
        <f t="shared" si="0"/>
        <v>2</v>
      </c>
      <c r="I19" s="2">
        <v>231.14</v>
      </c>
      <c r="J19" t="s">
        <v>7</v>
      </c>
    </row>
    <row r="20" spans="1:10" x14ac:dyDescent="0.3">
      <c r="A20" t="s">
        <v>22</v>
      </c>
      <c r="B20" t="s">
        <v>31</v>
      </c>
      <c r="C20" s="1">
        <v>43633</v>
      </c>
      <c r="D20" t="s">
        <v>9</v>
      </c>
      <c r="E20" s="1">
        <v>43713</v>
      </c>
      <c r="F20" t="s">
        <v>8</v>
      </c>
      <c r="G20" s="2">
        <v>80</v>
      </c>
      <c r="H20" s="2">
        <f t="shared" si="0"/>
        <v>3</v>
      </c>
      <c r="I20" s="2">
        <v>236.22</v>
      </c>
      <c r="J20" t="s">
        <v>7</v>
      </c>
    </row>
    <row r="21" spans="1:10" x14ac:dyDescent="0.3">
      <c r="A21" t="s">
        <v>22</v>
      </c>
      <c r="B21" t="s">
        <v>31</v>
      </c>
      <c r="C21" s="1">
        <v>43633</v>
      </c>
      <c r="D21" t="s">
        <v>9</v>
      </c>
      <c r="E21" s="1">
        <v>43720</v>
      </c>
      <c r="F21" t="s">
        <v>8</v>
      </c>
      <c r="G21" s="2">
        <v>87</v>
      </c>
      <c r="H21" s="2">
        <f t="shared" si="0"/>
        <v>3</v>
      </c>
      <c r="I21" s="2">
        <v>238.76</v>
      </c>
      <c r="J21" t="s">
        <v>7</v>
      </c>
    </row>
    <row r="22" spans="1:10" x14ac:dyDescent="0.3">
      <c r="A22" t="s">
        <v>22</v>
      </c>
      <c r="B22" t="s">
        <v>31</v>
      </c>
      <c r="C22" s="1">
        <v>43633</v>
      </c>
      <c r="D22" t="s">
        <v>9</v>
      </c>
      <c r="E22" s="1">
        <v>43727</v>
      </c>
      <c r="F22" t="s">
        <v>8</v>
      </c>
      <c r="G22" s="2">
        <v>94</v>
      </c>
      <c r="H22" s="2">
        <f t="shared" si="0"/>
        <v>3</v>
      </c>
      <c r="I22" s="2">
        <v>241.3</v>
      </c>
      <c r="J22" t="s">
        <v>7</v>
      </c>
    </row>
    <row r="23" spans="1:10" x14ac:dyDescent="0.3">
      <c r="A23" t="s">
        <v>22</v>
      </c>
      <c r="B23" t="s">
        <v>31</v>
      </c>
      <c r="C23" s="1">
        <v>43633</v>
      </c>
      <c r="D23" t="s">
        <v>9</v>
      </c>
      <c r="E23" s="1">
        <v>43735</v>
      </c>
      <c r="F23" t="s">
        <v>8</v>
      </c>
      <c r="G23" s="2">
        <v>102</v>
      </c>
      <c r="H23" s="2">
        <f t="shared" si="0"/>
        <v>3</v>
      </c>
      <c r="I23" s="2">
        <v>242.57</v>
      </c>
      <c r="J23" t="s">
        <v>7</v>
      </c>
    </row>
    <row r="24" spans="1:10" x14ac:dyDescent="0.3">
      <c r="A24" t="s">
        <v>22</v>
      </c>
      <c r="B24" t="s">
        <v>31</v>
      </c>
      <c r="C24" s="1">
        <v>43633</v>
      </c>
      <c r="D24" t="s">
        <v>9</v>
      </c>
      <c r="E24" s="1">
        <v>43751</v>
      </c>
      <c r="F24" t="s">
        <v>8</v>
      </c>
      <c r="G24" s="2">
        <v>118</v>
      </c>
      <c r="H24" s="2">
        <f t="shared" si="0"/>
        <v>4</v>
      </c>
      <c r="I24" s="2">
        <v>246.38</v>
      </c>
      <c r="J24" t="s">
        <v>7</v>
      </c>
    </row>
    <row r="25" spans="1:10" x14ac:dyDescent="0.3">
      <c r="A25" t="s">
        <v>22</v>
      </c>
      <c r="B25" t="s">
        <v>31</v>
      </c>
      <c r="C25" s="1">
        <v>43633</v>
      </c>
      <c r="D25" t="s">
        <v>9</v>
      </c>
      <c r="E25" s="1">
        <v>43763</v>
      </c>
      <c r="F25" t="s">
        <v>8</v>
      </c>
      <c r="G25" s="2">
        <v>130</v>
      </c>
      <c r="H25" s="2">
        <f t="shared" si="0"/>
        <v>4</v>
      </c>
      <c r="I25" s="2">
        <v>252.73</v>
      </c>
      <c r="J25" t="s">
        <v>7</v>
      </c>
    </row>
    <row r="26" spans="1:10" x14ac:dyDescent="0.3">
      <c r="A26" t="s">
        <v>22</v>
      </c>
      <c r="B26" t="s">
        <v>31</v>
      </c>
      <c r="C26" s="1">
        <v>43633</v>
      </c>
      <c r="D26" t="s">
        <v>9</v>
      </c>
      <c r="E26" s="1">
        <v>43770</v>
      </c>
      <c r="F26" t="s">
        <v>8</v>
      </c>
      <c r="G26" s="2">
        <v>137</v>
      </c>
      <c r="H26" s="2">
        <f t="shared" si="0"/>
        <v>5</v>
      </c>
      <c r="I26" s="2">
        <v>256.54000000000002</v>
      </c>
      <c r="J26" t="s">
        <v>7</v>
      </c>
    </row>
    <row r="27" spans="1:10" x14ac:dyDescent="0.3">
      <c r="A27" t="s">
        <v>22</v>
      </c>
      <c r="B27" t="s">
        <v>31</v>
      </c>
      <c r="C27" s="1">
        <v>43633</v>
      </c>
      <c r="D27" t="s">
        <v>9</v>
      </c>
      <c r="E27" s="1">
        <v>43790</v>
      </c>
      <c r="F27" t="s">
        <v>8</v>
      </c>
      <c r="G27" s="2">
        <v>157</v>
      </c>
      <c r="H27" s="2">
        <f t="shared" si="0"/>
        <v>5</v>
      </c>
      <c r="I27" s="2">
        <v>259.08</v>
      </c>
      <c r="J27" t="s">
        <v>7</v>
      </c>
    </row>
    <row r="28" spans="1:10" x14ac:dyDescent="0.3">
      <c r="A28" t="s">
        <v>22</v>
      </c>
      <c r="B28" t="s">
        <v>31</v>
      </c>
      <c r="C28" s="1">
        <v>43633</v>
      </c>
      <c r="D28" t="s">
        <v>9</v>
      </c>
      <c r="E28" s="1">
        <v>43800</v>
      </c>
      <c r="F28" t="s">
        <v>8</v>
      </c>
      <c r="G28" s="2">
        <v>167</v>
      </c>
      <c r="H28" s="2">
        <f t="shared" si="0"/>
        <v>6</v>
      </c>
      <c r="I28" s="2">
        <v>264.16000000000003</v>
      </c>
      <c r="J28" t="s">
        <v>7</v>
      </c>
    </row>
    <row r="29" spans="1:10" x14ac:dyDescent="0.3">
      <c r="A29" t="s">
        <v>22</v>
      </c>
      <c r="B29" t="s">
        <v>31</v>
      </c>
      <c r="C29" s="1">
        <v>43633</v>
      </c>
      <c r="D29" t="s">
        <v>9</v>
      </c>
      <c r="E29" s="1">
        <v>43825</v>
      </c>
      <c r="F29" t="s">
        <v>8</v>
      </c>
      <c r="G29" s="2">
        <v>192</v>
      </c>
      <c r="H29" s="2">
        <f t="shared" si="0"/>
        <v>6</v>
      </c>
      <c r="I29" s="2">
        <v>271.77999999999997</v>
      </c>
      <c r="J29" t="s">
        <v>7</v>
      </c>
    </row>
    <row r="30" spans="1:10" x14ac:dyDescent="0.3">
      <c r="A30" t="s">
        <v>15</v>
      </c>
      <c r="B30" t="s">
        <v>17</v>
      </c>
      <c r="C30" s="1">
        <v>42890</v>
      </c>
      <c r="D30" t="s">
        <v>10</v>
      </c>
      <c r="E30" s="1">
        <v>42891</v>
      </c>
      <c r="F30" t="s">
        <v>8</v>
      </c>
      <c r="G30" s="2">
        <v>1</v>
      </c>
      <c r="H30" s="2">
        <f t="shared" si="0"/>
        <v>0</v>
      </c>
      <c r="I30" s="2">
        <v>181.61</v>
      </c>
      <c r="J30" t="s">
        <v>7</v>
      </c>
    </row>
    <row r="31" spans="1:10" x14ac:dyDescent="0.3">
      <c r="A31" t="s">
        <v>15</v>
      </c>
      <c r="B31" t="s">
        <v>17</v>
      </c>
      <c r="C31" s="1">
        <v>42890</v>
      </c>
      <c r="D31" t="s">
        <v>10</v>
      </c>
      <c r="E31" s="1">
        <v>43551</v>
      </c>
      <c r="F31" t="s">
        <v>8</v>
      </c>
      <c r="G31" s="2">
        <v>661</v>
      </c>
      <c r="H31" s="2">
        <f t="shared" si="0"/>
        <v>22</v>
      </c>
      <c r="I31" s="2">
        <v>350.52</v>
      </c>
      <c r="J31" t="s">
        <v>7</v>
      </c>
    </row>
    <row r="32" spans="1:10" x14ac:dyDescent="0.3">
      <c r="A32" t="s">
        <v>20</v>
      </c>
      <c r="B32" t="s">
        <v>21</v>
      </c>
      <c r="C32" s="1">
        <v>43646</v>
      </c>
      <c r="D32" t="s">
        <v>9</v>
      </c>
      <c r="E32" s="1">
        <v>43646</v>
      </c>
      <c r="F32" t="s">
        <v>8</v>
      </c>
      <c r="G32" s="2">
        <v>0</v>
      </c>
      <c r="H32" s="2">
        <f t="shared" si="0"/>
        <v>0</v>
      </c>
      <c r="I32" s="2">
        <v>185.42</v>
      </c>
      <c r="J32" t="s">
        <v>7</v>
      </c>
    </row>
    <row r="33" spans="1:12" x14ac:dyDescent="0.3">
      <c r="A33" t="s">
        <v>20</v>
      </c>
      <c r="B33" t="s">
        <v>21</v>
      </c>
      <c r="C33" s="1">
        <v>43646</v>
      </c>
      <c r="D33" t="s">
        <v>9</v>
      </c>
      <c r="E33" s="1">
        <v>43656</v>
      </c>
      <c r="F33" t="s">
        <v>4</v>
      </c>
      <c r="G33" s="2">
        <v>10</v>
      </c>
      <c r="H33" s="2">
        <f t="shared" si="0"/>
        <v>0</v>
      </c>
      <c r="I33" s="2">
        <v>208.28</v>
      </c>
      <c r="J33" t="s">
        <v>7</v>
      </c>
    </row>
    <row r="34" spans="1:12" x14ac:dyDescent="0.3">
      <c r="A34" t="s">
        <v>20</v>
      </c>
      <c r="B34" t="s">
        <v>21</v>
      </c>
      <c r="C34" s="1">
        <v>43646</v>
      </c>
      <c r="D34" t="s">
        <v>9</v>
      </c>
      <c r="E34" s="1">
        <v>43670</v>
      </c>
      <c r="F34" t="s">
        <v>4</v>
      </c>
      <c r="G34" s="2">
        <v>24</v>
      </c>
      <c r="H34" s="2">
        <f t="shared" ref="H34:H65" si="1">ROUND(G34/30,0)</f>
        <v>1</v>
      </c>
      <c r="I34" s="2">
        <v>213.36</v>
      </c>
      <c r="J34" t="s">
        <v>7</v>
      </c>
    </row>
    <row r="35" spans="1:12" x14ac:dyDescent="0.3">
      <c r="A35" t="s">
        <v>20</v>
      </c>
      <c r="B35" t="s">
        <v>21</v>
      </c>
      <c r="C35" s="1">
        <v>43646</v>
      </c>
      <c r="D35" t="s">
        <v>9</v>
      </c>
      <c r="E35" s="1">
        <v>43699</v>
      </c>
      <c r="F35" t="s">
        <v>4</v>
      </c>
      <c r="G35" s="2">
        <v>53</v>
      </c>
      <c r="H35" s="2">
        <f t="shared" si="1"/>
        <v>2</v>
      </c>
      <c r="I35" s="2">
        <v>233.68</v>
      </c>
      <c r="J35" t="s">
        <v>7</v>
      </c>
    </row>
    <row r="36" spans="1:12" x14ac:dyDescent="0.3">
      <c r="A36" t="s">
        <v>20</v>
      </c>
      <c r="B36" t="s">
        <v>24</v>
      </c>
      <c r="C36" s="1">
        <v>38724</v>
      </c>
      <c r="D36" t="s">
        <v>10</v>
      </c>
      <c r="E36" s="1">
        <v>43656</v>
      </c>
      <c r="F36" t="s">
        <v>4</v>
      </c>
      <c r="G36" s="2">
        <v>4932</v>
      </c>
      <c r="H36" s="2">
        <f t="shared" si="1"/>
        <v>164</v>
      </c>
      <c r="I36" s="2">
        <v>457.2</v>
      </c>
      <c r="J36" t="s">
        <v>7</v>
      </c>
      <c r="L36" t="s">
        <v>34</v>
      </c>
    </row>
    <row r="37" spans="1:12" x14ac:dyDescent="0.3">
      <c r="A37" t="s">
        <v>20</v>
      </c>
      <c r="B37" t="s">
        <v>23</v>
      </c>
      <c r="C37" s="1">
        <v>43131</v>
      </c>
      <c r="D37" t="s">
        <v>10</v>
      </c>
      <c r="E37" s="1">
        <v>43131</v>
      </c>
      <c r="F37" t="s">
        <v>4</v>
      </c>
      <c r="G37" s="2">
        <v>0</v>
      </c>
      <c r="H37" s="2">
        <f t="shared" si="1"/>
        <v>0</v>
      </c>
      <c r="I37" s="2">
        <v>187.96</v>
      </c>
      <c r="J37" t="s">
        <v>7</v>
      </c>
    </row>
    <row r="38" spans="1:12" x14ac:dyDescent="0.3">
      <c r="A38" t="s">
        <v>20</v>
      </c>
      <c r="B38" t="s">
        <v>23</v>
      </c>
      <c r="C38" s="1">
        <v>43131</v>
      </c>
      <c r="D38" t="s">
        <v>10</v>
      </c>
      <c r="E38" s="1">
        <v>43656</v>
      </c>
      <c r="F38" t="s">
        <v>4</v>
      </c>
      <c r="G38" s="2">
        <v>525</v>
      </c>
      <c r="H38" s="2">
        <f t="shared" si="1"/>
        <v>18</v>
      </c>
      <c r="I38" s="2">
        <v>335.28</v>
      </c>
      <c r="J38" t="s">
        <v>7</v>
      </c>
    </row>
    <row r="39" spans="1:12" x14ac:dyDescent="0.3">
      <c r="A39" t="s">
        <v>15</v>
      </c>
      <c r="B39" t="s">
        <v>16</v>
      </c>
      <c r="C39" s="1">
        <v>42828</v>
      </c>
      <c r="D39" t="s">
        <v>10</v>
      </c>
      <c r="E39" s="1">
        <v>43551</v>
      </c>
      <c r="F39" t="s">
        <v>8</v>
      </c>
      <c r="G39" s="2">
        <v>723</v>
      </c>
      <c r="H39" s="2">
        <f t="shared" si="1"/>
        <v>24</v>
      </c>
      <c r="I39" s="2">
        <v>335.28</v>
      </c>
      <c r="J39" t="s">
        <v>7</v>
      </c>
    </row>
    <row r="40" spans="1:12" x14ac:dyDescent="0.3">
      <c r="A40" t="s">
        <v>22</v>
      </c>
      <c r="B40" t="s">
        <v>29</v>
      </c>
      <c r="C40" s="1">
        <v>41194</v>
      </c>
      <c r="D40" t="s">
        <v>10</v>
      </c>
      <c r="E40" s="1">
        <v>41253</v>
      </c>
      <c r="F40" t="s">
        <v>4</v>
      </c>
      <c r="G40" s="2">
        <v>59</v>
      </c>
      <c r="H40" s="2">
        <f t="shared" si="1"/>
        <v>2</v>
      </c>
      <c r="I40" s="2">
        <v>213.36</v>
      </c>
      <c r="J40" t="s">
        <v>7</v>
      </c>
    </row>
    <row r="41" spans="1:12" x14ac:dyDescent="0.3">
      <c r="A41" t="s">
        <v>22</v>
      </c>
      <c r="B41" t="s">
        <v>29</v>
      </c>
      <c r="C41" s="1">
        <v>41194</v>
      </c>
      <c r="D41" t="s">
        <v>10</v>
      </c>
      <c r="E41" s="1">
        <v>41290</v>
      </c>
      <c r="F41" t="s">
        <v>4</v>
      </c>
      <c r="G41" s="2">
        <v>96</v>
      </c>
      <c r="H41" s="2">
        <f t="shared" si="1"/>
        <v>3</v>
      </c>
      <c r="I41" s="2">
        <v>238.76</v>
      </c>
      <c r="J41" t="s">
        <v>7</v>
      </c>
    </row>
    <row r="42" spans="1:12" x14ac:dyDescent="0.3">
      <c r="A42" t="s">
        <v>35</v>
      </c>
      <c r="B42" t="s">
        <v>36</v>
      </c>
      <c r="C42" s="1">
        <v>43373</v>
      </c>
      <c r="D42" t="s">
        <v>9</v>
      </c>
      <c r="E42" s="1">
        <v>43373</v>
      </c>
      <c r="F42" t="s">
        <v>4</v>
      </c>
      <c r="G42" s="2">
        <v>0</v>
      </c>
      <c r="H42" s="2">
        <f t="shared" si="1"/>
        <v>0</v>
      </c>
      <c r="I42" s="2">
        <v>165.1</v>
      </c>
      <c r="J42" t="s">
        <v>7</v>
      </c>
    </row>
    <row r="43" spans="1:12" x14ac:dyDescent="0.3">
      <c r="A43" t="s">
        <v>35</v>
      </c>
      <c r="B43" t="s">
        <v>36</v>
      </c>
      <c r="C43" s="1">
        <v>43373</v>
      </c>
      <c r="D43" t="s">
        <v>9</v>
      </c>
      <c r="E43" s="1">
        <v>43376</v>
      </c>
      <c r="F43" t="s">
        <v>4</v>
      </c>
      <c r="G43" s="2">
        <v>3</v>
      </c>
      <c r="H43" s="2">
        <f t="shared" si="1"/>
        <v>0</v>
      </c>
      <c r="I43" s="2">
        <v>167.64</v>
      </c>
      <c r="J43" t="s">
        <v>7</v>
      </c>
    </row>
    <row r="44" spans="1:12" x14ac:dyDescent="0.3">
      <c r="A44" t="s">
        <v>35</v>
      </c>
      <c r="B44" t="s">
        <v>36</v>
      </c>
      <c r="C44" s="1">
        <v>43373</v>
      </c>
      <c r="D44" t="s">
        <v>9</v>
      </c>
      <c r="E44" s="1">
        <v>43452</v>
      </c>
      <c r="F44" t="s">
        <v>4</v>
      </c>
      <c r="G44" s="2">
        <v>79</v>
      </c>
      <c r="H44" s="2">
        <f t="shared" si="1"/>
        <v>3</v>
      </c>
      <c r="I44" s="2">
        <v>236.22</v>
      </c>
      <c r="J44" t="s">
        <v>7</v>
      </c>
    </row>
    <row r="45" spans="1:12" x14ac:dyDescent="0.3">
      <c r="A45" t="s">
        <v>35</v>
      </c>
      <c r="B45" t="s">
        <v>36</v>
      </c>
      <c r="C45" s="1">
        <v>43373</v>
      </c>
      <c r="D45" t="s">
        <v>9</v>
      </c>
      <c r="E45" s="1">
        <v>43466</v>
      </c>
      <c r="F45" t="s">
        <v>4</v>
      </c>
      <c r="G45" s="2">
        <v>93</v>
      </c>
      <c r="H45" s="2">
        <f t="shared" si="1"/>
        <v>3</v>
      </c>
      <c r="I45" s="2">
        <v>243.84</v>
      </c>
      <c r="J45" t="s">
        <v>7</v>
      </c>
    </row>
    <row r="46" spans="1:12" x14ac:dyDescent="0.3">
      <c r="A46" t="s">
        <v>35</v>
      </c>
      <c r="B46" t="s">
        <v>36</v>
      </c>
      <c r="C46" s="1">
        <v>43373</v>
      </c>
      <c r="D46" t="s">
        <v>9</v>
      </c>
      <c r="E46" s="1">
        <v>43533</v>
      </c>
      <c r="F46" t="s">
        <v>4</v>
      </c>
      <c r="G46" s="2">
        <v>160</v>
      </c>
      <c r="H46" s="2">
        <f t="shared" si="1"/>
        <v>5</v>
      </c>
      <c r="I46" s="2">
        <v>274.32</v>
      </c>
      <c r="J46" t="s">
        <v>7</v>
      </c>
    </row>
    <row r="47" spans="1:12" x14ac:dyDescent="0.3">
      <c r="A47" t="s">
        <v>35</v>
      </c>
      <c r="B47" t="s">
        <v>36</v>
      </c>
      <c r="C47" s="1">
        <v>43373</v>
      </c>
      <c r="D47" t="s">
        <v>9</v>
      </c>
      <c r="E47" s="1">
        <v>43556</v>
      </c>
      <c r="F47" t="s">
        <v>4</v>
      </c>
      <c r="G47" s="2">
        <v>183</v>
      </c>
      <c r="H47" s="2">
        <f t="shared" si="1"/>
        <v>6</v>
      </c>
      <c r="I47" s="2">
        <v>274.32</v>
      </c>
      <c r="J47" t="s">
        <v>7</v>
      </c>
    </row>
    <row r="48" spans="1:12" x14ac:dyDescent="0.3">
      <c r="A48" t="s">
        <v>35</v>
      </c>
      <c r="B48" t="s">
        <v>36</v>
      </c>
      <c r="C48" s="1">
        <v>43373</v>
      </c>
      <c r="D48" t="s">
        <v>9</v>
      </c>
      <c r="E48" s="1">
        <v>43738</v>
      </c>
      <c r="F48" t="s">
        <v>4</v>
      </c>
      <c r="G48" s="2">
        <v>365</v>
      </c>
      <c r="H48" s="2">
        <f t="shared" si="1"/>
        <v>12</v>
      </c>
      <c r="I48" s="2">
        <v>299.72000000000003</v>
      </c>
      <c r="J48" t="s">
        <v>7</v>
      </c>
    </row>
    <row r="49" spans="1:12" x14ac:dyDescent="0.3">
      <c r="A49" t="s">
        <v>35</v>
      </c>
      <c r="B49" t="s">
        <v>36</v>
      </c>
      <c r="C49" s="1">
        <v>43373</v>
      </c>
      <c r="D49" t="s">
        <v>9</v>
      </c>
      <c r="E49" s="1">
        <v>43806</v>
      </c>
      <c r="F49" t="s">
        <v>4</v>
      </c>
      <c r="G49" s="2">
        <v>433</v>
      </c>
      <c r="H49" s="2">
        <f t="shared" si="1"/>
        <v>14</v>
      </c>
      <c r="I49" s="2">
        <v>312.42</v>
      </c>
      <c r="J49" t="s">
        <v>7</v>
      </c>
    </row>
    <row r="50" spans="1:12" x14ac:dyDescent="0.3">
      <c r="A50" t="s">
        <v>20</v>
      </c>
      <c r="B50" t="s">
        <v>25</v>
      </c>
      <c r="C50" s="1">
        <v>39843</v>
      </c>
      <c r="D50" t="s">
        <v>9</v>
      </c>
      <c r="E50" s="1">
        <v>43656</v>
      </c>
      <c r="F50" t="s">
        <v>4</v>
      </c>
      <c r="G50" s="2">
        <v>3813</v>
      </c>
      <c r="H50" s="2">
        <f t="shared" si="1"/>
        <v>127</v>
      </c>
      <c r="I50" s="2">
        <v>533.4</v>
      </c>
      <c r="J50" t="s">
        <v>7</v>
      </c>
      <c r="L50" t="s">
        <v>34</v>
      </c>
    </row>
    <row r="51" spans="1:12" x14ac:dyDescent="0.3">
      <c r="A51" t="s">
        <v>32</v>
      </c>
      <c r="B51" t="s">
        <v>28</v>
      </c>
      <c r="C51" s="1">
        <v>39207</v>
      </c>
      <c r="D51" t="s">
        <v>9</v>
      </c>
      <c r="E51" s="1">
        <v>40376</v>
      </c>
      <c r="F51" t="s">
        <v>4</v>
      </c>
      <c r="G51" s="2">
        <v>1169</v>
      </c>
      <c r="H51" s="2">
        <f t="shared" si="1"/>
        <v>39</v>
      </c>
      <c r="I51" s="2">
        <v>375.92</v>
      </c>
      <c r="J51" t="s">
        <v>7</v>
      </c>
    </row>
    <row r="52" spans="1:12" x14ac:dyDescent="0.3">
      <c r="A52" t="s">
        <v>32</v>
      </c>
      <c r="B52" t="s">
        <v>28</v>
      </c>
      <c r="C52" s="1">
        <v>39207</v>
      </c>
      <c r="D52" t="s">
        <v>9</v>
      </c>
      <c r="E52" s="1">
        <v>40836</v>
      </c>
      <c r="F52" t="s">
        <v>4</v>
      </c>
      <c r="G52" s="2">
        <v>1629</v>
      </c>
      <c r="H52" s="2">
        <f t="shared" si="1"/>
        <v>54</v>
      </c>
      <c r="I52" s="2">
        <v>434.34</v>
      </c>
      <c r="J52" t="s">
        <v>7</v>
      </c>
    </row>
    <row r="53" spans="1:12" x14ac:dyDescent="0.3">
      <c r="A53" t="s">
        <v>32</v>
      </c>
      <c r="B53" t="s">
        <v>28</v>
      </c>
      <c r="C53" s="1">
        <v>39207</v>
      </c>
      <c r="D53" t="s">
        <v>9</v>
      </c>
      <c r="E53" s="1">
        <v>41150</v>
      </c>
      <c r="F53" t="s">
        <v>4</v>
      </c>
      <c r="G53" s="2">
        <v>1943</v>
      </c>
      <c r="H53" s="2">
        <f t="shared" si="1"/>
        <v>65</v>
      </c>
      <c r="I53" s="2">
        <v>447.04</v>
      </c>
      <c r="J53" t="s">
        <v>7</v>
      </c>
      <c r="L53" t="s">
        <v>34</v>
      </c>
    </row>
    <row r="54" spans="1:12" x14ac:dyDescent="0.3">
      <c r="A54" t="s">
        <v>15</v>
      </c>
      <c r="B54" t="s">
        <v>18</v>
      </c>
      <c r="C54" s="1">
        <v>42588</v>
      </c>
      <c r="D54" t="s">
        <v>9</v>
      </c>
      <c r="E54" s="1">
        <v>42589</v>
      </c>
      <c r="F54" t="s">
        <v>8</v>
      </c>
      <c r="G54" s="2">
        <v>1</v>
      </c>
      <c r="H54" s="2">
        <f t="shared" si="1"/>
        <v>0</v>
      </c>
      <c r="I54" s="2">
        <v>207.26400000000001</v>
      </c>
      <c r="J54" t="s">
        <v>7</v>
      </c>
    </row>
    <row r="55" spans="1:12" x14ac:dyDescent="0.3">
      <c r="A55" t="s">
        <v>15</v>
      </c>
      <c r="B55" t="s">
        <v>18</v>
      </c>
      <c r="C55" s="1">
        <v>42588</v>
      </c>
      <c r="D55" t="s">
        <v>9</v>
      </c>
      <c r="E55" s="1">
        <v>42632</v>
      </c>
      <c r="F55" t="s">
        <v>8</v>
      </c>
      <c r="G55" s="2">
        <v>44</v>
      </c>
      <c r="H55" s="2">
        <f t="shared" si="1"/>
        <v>1</v>
      </c>
      <c r="I55" s="2">
        <v>213.36</v>
      </c>
      <c r="J55" t="s">
        <v>7</v>
      </c>
    </row>
    <row r="56" spans="1:12" x14ac:dyDescent="0.3">
      <c r="A56" t="s">
        <v>15</v>
      </c>
      <c r="B56" t="s">
        <v>18</v>
      </c>
      <c r="C56" s="1">
        <v>42588</v>
      </c>
      <c r="D56" t="s">
        <v>9</v>
      </c>
      <c r="E56" s="1">
        <v>42646</v>
      </c>
      <c r="F56" t="s">
        <v>8</v>
      </c>
      <c r="G56" s="2">
        <v>58</v>
      </c>
      <c r="H56" s="2">
        <f t="shared" si="1"/>
        <v>2</v>
      </c>
      <c r="I56" s="2">
        <v>240.792</v>
      </c>
      <c r="J56" t="s">
        <v>7</v>
      </c>
    </row>
    <row r="57" spans="1:12" x14ac:dyDescent="0.3">
      <c r="A57" t="s">
        <v>15</v>
      </c>
      <c r="B57" t="s">
        <v>18</v>
      </c>
      <c r="C57" s="1">
        <v>42588</v>
      </c>
      <c r="D57" t="s">
        <v>9</v>
      </c>
      <c r="E57" s="1">
        <v>42704</v>
      </c>
      <c r="F57" t="s">
        <v>8</v>
      </c>
      <c r="G57" s="2">
        <v>116</v>
      </c>
      <c r="H57" s="2">
        <f t="shared" si="1"/>
        <v>4</v>
      </c>
      <c r="I57" s="2">
        <v>265.17599999999999</v>
      </c>
      <c r="J57" t="s">
        <v>7</v>
      </c>
    </row>
    <row r="58" spans="1:12" x14ac:dyDescent="0.3">
      <c r="A58" t="s">
        <v>15</v>
      </c>
      <c r="B58" t="s">
        <v>18</v>
      </c>
      <c r="C58" s="1">
        <v>42588</v>
      </c>
      <c r="D58" t="s">
        <v>9</v>
      </c>
      <c r="E58" s="1">
        <v>43551</v>
      </c>
      <c r="F58" t="s">
        <v>8</v>
      </c>
      <c r="G58" s="2">
        <v>963</v>
      </c>
      <c r="H58" s="2">
        <f t="shared" si="1"/>
        <v>32</v>
      </c>
      <c r="I58" s="2">
        <v>365.76</v>
      </c>
      <c r="J58" t="s">
        <v>7</v>
      </c>
    </row>
    <row r="59" spans="1:12" x14ac:dyDescent="0.3">
      <c r="A59" t="s">
        <v>5</v>
      </c>
      <c r="B59" t="s">
        <v>19</v>
      </c>
      <c r="C59" s="1">
        <v>43392</v>
      </c>
      <c r="D59" t="s">
        <v>9</v>
      </c>
      <c r="E59" s="1">
        <v>43392</v>
      </c>
      <c r="F59" t="s">
        <v>4</v>
      </c>
      <c r="G59" s="2">
        <v>0</v>
      </c>
      <c r="H59" s="2">
        <f t="shared" si="1"/>
        <v>0</v>
      </c>
      <c r="I59" s="2">
        <v>182.88</v>
      </c>
      <c r="J59" t="s">
        <v>7</v>
      </c>
    </row>
    <row r="60" spans="1:12" x14ac:dyDescent="0.3">
      <c r="A60" t="s">
        <v>5</v>
      </c>
      <c r="B60" t="s">
        <v>19</v>
      </c>
      <c r="C60" s="1">
        <v>43392</v>
      </c>
      <c r="D60" t="s">
        <v>9</v>
      </c>
      <c r="E60" s="1">
        <v>43408</v>
      </c>
      <c r="F60" t="s">
        <v>4</v>
      </c>
      <c r="G60" s="2">
        <v>16</v>
      </c>
      <c r="H60" s="2">
        <f t="shared" si="1"/>
        <v>1</v>
      </c>
      <c r="I60" s="2">
        <v>208.28</v>
      </c>
      <c r="J60" t="s">
        <v>7</v>
      </c>
    </row>
    <row r="61" spans="1:12" x14ac:dyDescent="0.3">
      <c r="A61" t="s">
        <v>5</v>
      </c>
      <c r="B61" t="s">
        <v>19</v>
      </c>
      <c r="C61" s="1">
        <v>43392</v>
      </c>
      <c r="D61" t="s">
        <v>9</v>
      </c>
      <c r="E61" s="1">
        <v>43416</v>
      </c>
      <c r="F61" t="s">
        <v>4</v>
      </c>
      <c r="G61" s="2">
        <v>24</v>
      </c>
      <c r="H61" s="2">
        <f t="shared" si="1"/>
        <v>1</v>
      </c>
      <c r="I61" s="2">
        <v>213.36</v>
      </c>
      <c r="J61" t="s">
        <v>7</v>
      </c>
    </row>
    <row r="62" spans="1:12" x14ac:dyDescent="0.3">
      <c r="A62" t="s">
        <v>5</v>
      </c>
      <c r="B62" t="s">
        <v>19</v>
      </c>
      <c r="C62" s="1">
        <v>43392</v>
      </c>
      <c r="D62" t="s">
        <v>9</v>
      </c>
      <c r="E62" s="1">
        <v>43423</v>
      </c>
      <c r="F62" t="s">
        <v>4</v>
      </c>
      <c r="G62" s="2">
        <v>31</v>
      </c>
      <c r="H62" s="2">
        <f t="shared" si="1"/>
        <v>1</v>
      </c>
      <c r="I62" s="2">
        <v>213.36</v>
      </c>
      <c r="J62" t="s">
        <v>7</v>
      </c>
    </row>
    <row r="63" spans="1:12" x14ac:dyDescent="0.3">
      <c r="A63" t="s">
        <v>5</v>
      </c>
      <c r="B63" t="s">
        <v>19</v>
      </c>
      <c r="C63" s="1">
        <v>43392</v>
      </c>
      <c r="D63" t="s">
        <v>9</v>
      </c>
      <c r="E63" s="1">
        <v>43430</v>
      </c>
      <c r="F63" t="s">
        <v>4</v>
      </c>
      <c r="G63" s="2">
        <v>38</v>
      </c>
      <c r="H63" s="2">
        <f t="shared" si="1"/>
        <v>1</v>
      </c>
      <c r="I63" s="2">
        <v>218.44</v>
      </c>
      <c r="J63" t="s">
        <v>7</v>
      </c>
    </row>
    <row r="64" spans="1:12" x14ac:dyDescent="0.3">
      <c r="A64" t="s">
        <v>5</v>
      </c>
      <c r="B64" t="s">
        <v>19</v>
      </c>
      <c r="C64" s="1">
        <v>43392</v>
      </c>
      <c r="D64" t="s">
        <v>9</v>
      </c>
      <c r="E64" s="1">
        <v>43437</v>
      </c>
      <c r="F64" t="s">
        <v>4</v>
      </c>
      <c r="G64" s="2">
        <v>45</v>
      </c>
      <c r="H64" s="2">
        <f t="shared" si="1"/>
        <v>2</v>
      </c>
      <c r="I64" s="2">
        <v>218.44</v>
      </c>
      <c r="J64" t="s">
        <v>7</v>
      </c>
    </row>
    <row r="65" spans="1:10" x14ac:dyDescent="0.3">
      <c r="A65" t="s">
        <v>5</v>
      </c>
      <c r="B65" t="s">
        <v>19</v>
      </c>
      <c r="C65" s="1">
        <v>43392</v>
      </c>
      <c r="D65" t="s">
        <v>9</v>
      </c>
      <c r="E65" s="1">
        <v>43444</v>
      </c>
      <c r="F65" t="s">
        <v>4</v>
      </c>
      <c r="G65" s="2">
        <v>52</v>
      </c>
      <c r="H65" s="2">
        <f t="shared" si="1"/>
        <v>2</v>
      </c>
      <c r="I65" s="2">
        <v>220.98</v>
      </c>
      <c r="J65" t="s">
        <v>7</v>
      </c>
    </row>
    <row r="66" spans="1:10" x14ac:dyDescent="0.3">
      <c r="A66" t="s">
        <v>5</v>
      </c>
      <c r="B66" t="s">
        <v>19</v>
      </c>
      <c r="C66" s="1">
        <v>43392</v>
      </c>
      <c r="D66" t="s">
        <v>9</v>
      </c>
      <c r="E66" s="1">
        <v>43451</v>
      </c>
      <c r="F66" t="s">
        <v>4</v>
      </c>
      <c r="G66" s="2">
        <v>59</v>
      </c>
      <c r="H66" s="2">
        <f t="shared" ref="H66:H97" si="2">ROUND(G66/30,0)</f>
        <v>2</v>
      </c>
      <c r="I66" s="2">
        <v>223.52</v>
      </c>
      <c r="J66" t="s">
        <v>7</v>
      </c>
    </row>
    <row r="67" spans="1:10" x14ac:dyDescent="0.3">
      <c r="A67" t="s">
        <v>5</v>
      </c>
      <c r="B67" t="s">
        <v>19</v>
      </c>
      <c r="C67" s="1">
        <v>43392</v>
      </c>
      <c r="D67" t="s">
        <v>9</v>
      </c>
      <c r="E67" s="1">
        <v>43459</v>
      </c>
      <c r="F67" t="s">
        <v>4</v>
      </c>
      <c r="G67" s="2">
        <v>67</v>
      </c>
      <c r="H67" s="2">
        <f t="shared" si="2"/>
        <v>2</v>
      </c>
      <c r="I67" s="2">
        <v>228.6</v>
      </c>
      <c r="J67" t="s">
        <v>7</v>
      </c>
    </row>
    <row r="68" spans="1:10" x14ac:dyDescent="0.3">
      <c r="A68" t="s">
        <v>5</v>
      </c>
      <c r="B68" t="s">
        <v>19</v>
      </c>
      <c r="C68" s="1">
        <v>43392</v>
      </c>
      <c r="D68" t="s">
        <v>9</v>
      </c>
      <c r="E68" s="1">
        <v>43465</v>
      </c>
      <c r="F68" t="s">
        <v>4</v>
      </c>
      <c r="G68" s="2">
        <v>73</v>
      </c>
      <c r="H68" s="2">
        <f t="shared" si="2"/>
        <v>2</v>
      </c>
      <c r="I68" s="2">
        <v>233.68</v>
      </c>
      <c r="J68" t="s">
        <v>7</v>
      </c>
    </row>
    <row r="69" spans="1:10" x14ac:dyDescent="0.3">
      <c r="A69" t="s">
        <v>5</v>
      </c>
      <c r="B69" t="s">
        <v>19</v>
      </c>
      <c r="C69" s="1">
        <v>43392</v>
      </c>
      <c r="D69" t="s">
        <v>9</v>
      </c>
      <c r="E69" s="1">
        <v>43473</v>
      </c>
      <c r="F69" t="s">
        <v>4</v>
      </c>
      <c r="G69" s="2">
        <v>81</v>
      </c>
      <c r="H69" s="2">
        <f t="shared" si="2"/>
        <v>3</v>
      </c>
      <c r="I69" s="2">
        <v>241.3</v>
      </c>
      <c r="J69" t="s">
        <v>7</v>
      </c>
    </row>
    <row r="70" spans="1:10" x14ac:dyDescent="0.3">
      <c r="A70" t="s">
        <v>5</v>
      </c>
      <c r="B70" t="s">
        <v>19</v>
      </c>
      <c r="C70" s="1">
        <v>43392</v>
      </c>
      <c r="D70" t="s">
        <v>9</v>
      </c>
      <c r="E70" s="1">
        <v>43479</v>
      </c>
      <c r="F70" t="s">
        <v>4</v>
      </c>
      <c r="G70" s="2">
        <v>87</v>
      </c>
      <c r="H70" s="2">
        <f t="shared" si="2"/>
        <v>3</v>
      </c>
      <c r="I70" s="2">
        <v>243.84</v>
      </c>
      <c r="J70" t="s">
        <v>7</v>
      </c>
    </row>
    <row r="71" spans="1:10" x14ac:dyDescent="0.3">
      <c r="A71" t="s">
        <v>5</v>
      </c>
      <c r="B71" t="s">
        <v>19</v>
      </c>
      <c r="C71" s="1">
        <v>43392</v>
      </c>
      <c r="D71" t="s">
        <v>9</v>
      </c>
      <c r="E71" s="1">
        <v>43522</v>
      </c>
      <c r="F71" t="s">
        <v>4</v>
      </c>
      <c r="G71" s="2">
        <v>130</v>
      </c>
      <c r="H71" s="2">
        <f t="shared" si="2"/>
        <v>4</v>
      </c>
      <c r="I71" s="2">
        <v>254</v>
      </c>
      <c r="J71" t="s">
        <v>7</v>
      </c>
    </row>
    <row r="72" spans="1:10" x14ac:dyDescent="0.3">
      <c r="A72" t="s">
        <v>5</v>
      </c>
      <c r="B72" t="s">
        <v>19</v>
      </c>
      <c r="C72" s="1">
        <v>43392</v>
      </c>
      <c r="D72" t="s">
        <v>9</v>
      </c>
      <c r="E72" s="1">
        <v>43543</v>
      </c>
      <c r="F72" t="s">
        <v>4</v>
      </c>
      <c r="G72" s="2">
        <v>151</v>
      </c>
      <c r="H72" s="2">
        <f t="shared" si="2"/>
        <v>5</v>
      </c>
      <c r="I72" s="2">
        <v>261.62</v>
      </c>
      <c r="J72" t="s">
        <v>7</v>
      </c>
    </row>
    <row r="73" spans="1:10" x14ac:dyDescent="0.3">
      <c r="A73" t="s">
        <v>5</v>
      </c>
      <c r="B73" t="s">
        <v>19</v>
      </c>
      <c r="C73" s="1">
        <v>43392</v>
      </c>
      <c r="D73" t="s">
        <v>9</v>
      </c>
      <c r="E73" s="1">
        <v>43573</v>
      </c>
      <c r="F73" t="s">
        <v>4</v>
      </c>
      <c r="G73" s="2">
        <v>181</v>
      </c>
      <c r="H73" s="2">
        <f t="shared" si="2"/>
        <v>6</v>
      </c>
      <c r="I73" s="2">
        <v>266.7</v>
      </c>
      <c r="J73" t="s">
        <v>7</v>
      </c>
    </row>
    <row r="74" spans="1:10" x14ac:dyDescent="0.3">
      <c r="A74" t="s">
        <v>5</v>
      </c>
      <c r="B74" t="s">
        <v>19</v>
      </c>
      <c r="C74" s="1">
        <v>43392</v>
      </c>
      <c r="D74" t="s">
        <v>9</v>
      </c>
      <c r="E74" s="1">
        <v>43605</v>
      </c>
      <c r="F74" t="s">
        <v>4</v>
      </c>
      <c r="G74" s="2">
        <v>213</v>
      </c>
      <c r="H74" s="2">
        <f t="shared" si="2"/>
        <v>7</v>
      </c>
      <c r="I74" s="2">
        <v>274.32</v>
      </c>
      <c r="J74" t="s">
        <v>7</v>
      </c>
    </row>
    <row r="75" spans="1:10" x14ac:dyDescent="0.3">
      <c r="A75" t="s">
        <v>22</v>
      </c>
      <c r="B75" t="s">
        <v>27</v>
      </c>
      <c r="C75" s="1">
        <v>43792</v>
      </c>
      <c r="D75" t="s">
        <v>9</v>
      </c>
      <c r="E75" s="1">
        <v>43796</v>
      </c>
      <c r="F75" t="s">
        <v>8</v>
      </c>
      <c r="G75" s="2">
        <v>4</v>
      </c>
      <c r="H75" s="2">
        <f t="shared" si="2"/>
        <v>0</v>
      </c>
      <c r="I75" s="2">
        <v>175.26</v>
      </c>
      <c r="J75" t="s">
        <v>7</v>
      </c>
    </row>
    <row r="76" spans="1:10" x14ac:dyDescent="0.3">
      <c r="A76" t="s">
        <v>22</v>
      </c>
      <c r="B76" t="s">
        <v>30</v>
      </c>
      <c r="C76" s="1">
        <v>42626</v>
      </c>
      <c r="D76" t="s">
        <v>10</v>
      </c>
      <c r="E76" s="1">
        <v>43826</v>
      </c>
      <c r="F76" t="s">
        <v>4</v>
      </c>
      <c r="G76" s="2">
        <v>1200</v>
      </c>
      <c r="H76" s="2">
        <f t="shared" si="2"/>
        <v>40</v>
      </c>
      <c r="I76" s="2">
        <v>363.22</v>
      </c>
      <c r="J76" t="s">
        <v>7</v>
      </c>
    </row>
    <row r="77" spans="1:10" x14ac:dyDescent="0.3">
      <c r="A77" t="s">
        <v>26</v>
      </c>
      <c r="B77" t="s">
        <v>45</v>
      </c>
      <c r="C77" s="1">
        <v>42575</v>
      </c>
      <c r="D77" t="s">
        <v>10</v>
      </c>
      <c r="E77" s="1">
        <v>43604</v>
      </c>
      <c r="F77" t="s">
        <v>8</v>
      </c>
      <c r="G77" s="2">
        <v>1029</v>
      </c>
      <c r="H77" s="2">
        <f t="shared" si="2"/>
        <v>34</v>
      </c>
      <c r="I77" s="2">
        <v>411.48</v>
      </c>
      <c r="J77" t="s">
        <v>7</v>
      </c>
    </row>
    <row r="78" spans="1:10" x14ac:dyDescent="0.3">
      <c r="A78" t="s">
        <v>26</v>
      </c>
      <c r="B78" t="s">
        <v>46</v>
      </c>
      <c r="C78" s="1">
        <v>42455</v>
      </c>
      <c r="D78" t="s">
        <v>9</v>
      </c>
      <c r="E78" s="1">
        <v>43604</v>
      </c>
      <c r="F78" t="s">
        <v>8</v>
      </c>
      <c r="G78" s="2">
        <v>1149</v>
      </c>
      <c r="H78" s="2">
        <f t="shared" si="2"/>
        <v>38</v>
      </c>
      <c r="I78" s="2">
        <v>426.72</v>
      </c>
      <c r="J78" t="s">
        <v>7</v>
      </c>
    </row>
    <row r="79" spans="1:10" x14ac:dyDescent="0.3">
      <c r="H79" s="2">
        <f>MEDIAN(H2:H78)</f>
        <v>3</v>
      </c>
      <c r="I79" s="2">
        <f>MAX(I2:I78)</f>
        <v>533.4</v>
      </c>
    </row>
    <row r="80" spans="1:10" x14ac:dyDescent="0.3">
      <c r="C80" s="1"/>
      <c r="E80" s="1"/>
    </row>
    <row r="81" spans="3:5" x14ac:dyDescent="0.3">
      <c r="C81" s="1"/>
      <c r="E81" s="1"/>
    </row>
    <row r="82" spans="3:5" x14ac:dyDescent="0.3">
      <c r="C82" s="1"/>
      <c r="E82" s="1"/>
    </row>
    <row r="83" spans="3:5" x14ac:dyDescent="0.3">
      <c r="C83" s="1"/>
      <c r="E83" s="1"/>
    </row>
    <row r="84" spans="3:5" x14ac:dyDescent="0.3">
      <c r="C84" s="1"/>
      <c r="E84" s="1"/>
    </row>
    <row r="85" spans="3:5" x14ac:dyDescent="0.3">
      <c r="C85" s="1"/>
      <c r="E85" s="1"/>
    </row>
    <row r="86" spans="3:5" x14ac:dyDescent="0.3">
      <c r="C86" s="1"/>
      <c r="E86" s="1"/>
    </row>
    <row r="87" spans="3:5" x14ac:dyDescent="0.3">
      <c r="C87" s="1"/>
      <c r="E87" s="1"/>
    </row>
    <row r="88" spans="3:5" x14ac:dyDescent="0.3">
      <c r="C88" s="1"/>
      <c r="E88" s="1"/>
    </row>
    <row r="89" spans="3:5" x14ac:dyDescent="0.3">
      <c r="C89" s="1"/>
      <c r="E89" s="1"/>
    </row>
    <row r="90" spans="3:5" x14ac:dyDescent="0.3">
      <c r="C90" s="1"/>
      <c r="E90" s="1"/>
    </row>
    <row r="91" spans="3:5" x14ac:dyDescent="0.3">
      <c r="C91" s="1"/>
      <c r="E91" s="1"/>
    </row>
    <row r="92" spans="3:5" x14ac:dyDescent="0.3">
      <c r="C92" s="1"/>
      <c r="E92" s="1"/>
    </row>
    <row r="93" spans="3:5" x14ac:dyDescent="0.3">
      <c r="C93" s="1"/>
      <c r="E93" s="1"/>
    </row>
    <row r="94" spans="3:5" x14ac:dyDescent="0.3">
      <c r="C94" s="1"/>
      <c r="E94" s="1"/>
    </row>
    <row r="95" spans="3:5" x14ac:dyDescent="0.3">
      <c r="C95" s="1"/>
      <c r="E95" s="1"/>
    </row>
    <row r="96" spans="3:5" x14ac:dyDescent="0.3">
      <c r="C96" s="1"/>
      <c r="E96" s="1"/>
    </row>
    <row r="97" spans="3:5" x14ac:dyDescent="0.3">
      <c r="C97" s="1"/>
      <c r="E97" s="1"/>
    </row>
    <row r="98" spans="3:5" x14ac:dyDescent="0.3">
      <c r="C98" s="1"/>
      <c r="E98" s="1"/>
    </row>
    <row r="99" spans="3:5" x14ac:dyDescent="0.3">
      <c r="C99" s="1"/>
      <c r="E99" s="1"/>
    </row>
    <row r="100" spans="3:5" x14ac:dyDescent="0.3">
      <c r="C100" s="1"/>
      <c r="E100" s="1"/>
    </row>
    <row r="101" spans="3:5" x14ac:dyDescent="0.3">
      <c r="C101" s="1"/>
      <c r="E101" s="1"/>
    </row>
    <row r="102" spans="3:5" x14ac:dyDescent="0.3">
      <c r="C102" s="1"/>
      <c r="E102" s="1"/>
    </row>
    <row r="103" spans="3:5" x14ac:dyDescent="0.3">
      <c r="C103" s="1"/>
      <c r="E103" s="1"/>
    </row>
    <row r="104" spans="3:5" x14ac:dyDescent="0.3">
      <c r="C104" s="1"/>
      <c r="E104" s="1"/>
    </row>
    <row r="105" spans="3:5" x14ac:dyDescent="0.3">
      <c r="C105" s="1"/>
      <c r="E105" s="1"/>
    </row>
    <row r="106" spans="3:5" x14ac:dyDescent="0.3">
      <c r="C106" s="1"/>
      <c r="E106" s="1"/>
    </row>
    <row r="107" spans="3:5" x14ac:dyDescent="0.3">
      <c r="C107" s="1"/>
      <c r="E107" s="1"/>
    </row>
    <row r="108" spans="3:5" x14ac:dyDescent="0.3">
      <c r="C108" s="1"/>
      <c r="E108" s="1"/>
    </row>
    <row r="109" spans="3:5" x14ac:dyDescent="0.3">
      <c r="C109" s="1"/>
      <c r="E109" s="1"/>
    </row>
    <row r="110" spans="3:5" x14ac:dyDescent="0.3">
      <c r="C110" s="1"/>
      <c r="E110" s="1"/>
    </row>
    <row r="111" spans="3:5" x14ac:dyDescent="0.3">
      <c r="C111" s="1"/>
      <c r="E111" s="1"/>
    </row>
    <row r="112" spans="3:5" x14ac:dyDescent="0.3">
      <c r="C112" s="1"/>
      <c r="E112" s="1"/>
    </row>
    <row r="113" spans="3:5" x14ac:dyDescent="0.3">
      <c r="C113" s="1"/>
      <c r="E113" s="1"/>
    </row>
    <row r="114" spans="3:5" x14ac:dyDescent="0.3">
      <c r="C114" s="1"/>
      <c r="E114" s="1"/>
    </row>
    <row r="115" spans="3:5" x14ac:dyDescent="0.3">
      <c r="C115" s="1"/>
      <c r="E115" s="1"/>
    </row>
    <row r="116" spans="3:5" x14ac:dyDescent="0.3">
      <c r="C116" s="1"/>
      <c r="E116" s="1"/>
    </row>
    <row r="117" spans="3:5" x14ac:dyDescent="0.3">
      <c r="C117" s="1"/>
      <c r="E117" s="1"/>
    </row>
    <row r="118" spans="3:5" x14ac:dyDescent="0.3">
      <c r="C118" s="1"/>
      <c r="E118" s="1"/>
    </row>
    <row r="119" spans="3:5" x14ac:dyDescent="0.3">
      <c r="C119" s="1"/>
      <c r="E119" s="1"/>
    </row>
    <row r="120" spans="3:5" x14ac:dyDescent="0.3">
      <c r="C120" s="1"/>
      <c r="E120" s="1"/>
    </row>
    <row r="121" spans="3:5" x14ac:dyDescent="0.3">
      <c r="C121" s="1"/>
      <c r="E121" s="1"/>
    </row>
    <row r="122" spans="3:5" x14ac:dyDescent="0.3">
      <c r="C122" s="1"/>
      <c r="E122" s="1"/>
    </row>
    <row r="123" spans="3:5" x14ac:dyDescent="0.3">
      <c r="C123" s="1"/>
      <c r="E123" s="1"/>
    </row>
    <row r="124" spans="3:5" x14ac:dyDescent="0.3">
      <c r="C124" s="1"/>
      <c r="E124" s="1"/>
    </row>
    <row r="125" spans="3:5" x14ac:dyDescent="0.3">
      <c r="C125" s="1"/>
      <c r="E125" s="1"/>
    </row>
    <row r="126" spans="3:5" x14ac:dyDescent="0.3">
      <c r="C126" s="1"/>
      <c r="E126" s="1"/>
    </row>
    <row r="127" spans="3:5" x14ac:dyDescent="0.3">
      <c r="C127" s="1"/>
      <c r="E127" s="1"/>
    </row>
    <row r="128" spans="3:5" x14ac:dyDescent="0.3">
      <c r="C128" s="1"/>
      <c r="E128" s="1"/>
    </row>
    <row r="129" spans="3:5" x14ac:dyDescent="0.3">
      <c r="C129" s="1"/>
      <c r="E129" s="1"/>
    </row>
    <row r="130" spans="3:5" x14ac:dyDescent="0.3">
      <c r="C130" s="1"/>
      <c r="E130" s="1"/>
    </row>
    <row r="131" spans="3:5" x14ac:dyDescent="0.3">
      <c r="C131" s="1"/>
      <c r="E131" s="1"/>
    </row>
    <row r="132" spans="3:5" x14ac:dyDescent="0.3">
      <c r="C132" s="1"/>
      <c r="E132" s="1"/>
    </row>
    <row r="133" spans="3:5" x14ac:dyDescent="0.3">
      <c r="C133" s="1"/>
      <c r="E133" s="1"/>
    </row>
    <row r="134" spans="3:5" x14ac:dyDescent="0.3">
      <c r="C134" s="1"/>
      <c r="E134" s="1"/>
    </row>
    <row r="135" spans="3:5" x14ac:dyDescent="0.3">
      <c r="C135" s="1"/>
      <c r="E135" s="1"/>
    </row>
    <row r="136" spans="3:5" x14ac:dyDescent="0.3">
      <c r="C136" s="1"/>
      <c r="E136" s="1"/>
    </row>
    <row r="137" spans="3:5" x14ac:dyDescent="0.3">
      <c r="C137" s="1"/>
      <c r="E137" s="1"/>
    </row>
    <row r="138" spans="3:5" x14ac:dyDescent="0.3">
      <c r="C138" s="1"/>
      <c r="E138" s="1"/>
    </row>
    <row r="139" spans="3:5" x14ac:dyDescent="0.3">
      <c r="C139" s="1"/>
      <c r="E139" s="1"/>
    </row>
    <row r="141" spans="3:5" x14ac:dyDescent="0.3">
      <c r="C141" s="1"/>
      <c r="E141" s="1"/>
    </row>
    <row r="142" spans="3:5" x14ac:dyDescent="0.3">
      <c r="C142" s="1"/>
      <c r="E142" s="1"/>
    </row>
    <row r="143" spans="3:5" x14ac:dyDescent="0.3">
      <c r="C143" s="1"/>
      <c r="E143" s="1"/>
    </row>
    <row r="144" spans="3:5" x14ac:dyDescent="0.3">
      <c r="C144" s="1"/>
      <c r="E144" s="1"/>
    </row>
    <row r="145" spans="3:5" x14ac:dyDescent="0.3">
      <c r="C145" s="1"/>
      <c r="E145" s="1"/>
    </row>
    <row r="146" spans="3:5" x14ac:dyDescent="0.3">
      <c r="C146" s="1"/>
      <c r="E146" s="1"/>
    </row>
    <row r="147" spans="3:5" x14ac:dyDescent="0.3">
      <c r="C147" s="1"/>
      <c r="E147" s="1"/>
    </row>
    <row r="153" spans="3:5" x14ac:dyDescent="0.3">
      <c r="C153" s="1"/>
      <c r="E153" s="1"/>
    </row>
    <row r="154" spans="3:5" x14ac:dyDescent="0.3">
      <c r="C154" s="1"/>
      <c r="E154" s="1"/>
    </row>
    <row r="155" spans="3:5" x14ac:dyDescent="0.3">
      <c r="C155" s="1"/>
      <c r="E155" s="1"/>
    </row>
    <row r="156" spans="3:5" x14ac:dyDescent="0.3">
      <c r="E156" s="1"/>
    </row>
  </sheetData>
  <sortState xmlns:xlrd2="http://schemas.microsoft.com/office/spreadsheetml/2017/richdata2" ref="A2:L156">
    <sortCondition ref="B2:B156"/>
    <sortCondition ref="E2:E15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Huwe</dc:creator>
  <cp:lastModifiedBy>Rahul Dodhia</cp:lastModifiedBy>
  <dcterms:created xsi:type="dcterms:W3CDTF">2019-06-30T16:26:47Z</dcterms:created>
  <dcterms:modified xsi:type="dcterms:W3CDTF">2025-12-23T05:44:48Z</dcterms:modified>
</cp:coreProperties>
</file>